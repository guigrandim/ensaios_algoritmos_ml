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projetos\ml_trials_algorithm\"/>
    </mc:Choice>
  </mc:AlternateContent>
  <xr:revisionPtr revIDLastSave="0" documentId="13_ncr:1_{B8F4EC88-6F2B-4A22-B681-D45E7D86C007}" xr6:coauthVersionLast="47" xr6:coauthVersionMax="47" xr10:uidLastSave="{00000000-0000-0000-0000-000000000000}"/>
  <bookViews>
    <workbookView xWindow="-108" yWindow="-108" windowWidth="23256" windowHeight="12456" activeTab="2" xr2:uid="{3BF1C450-AEE4-449E-BF8A-05237188B588}"/>
  </bookViews>
  <sheets>
    <sheet name="Classificação" sheetId="1" r:id="rId1"/>
    <sheet name="Regressão" sheetId="6" r:id="rId2"/>
    <sheet name="Clusterização" sheetId="7" r:id="rId3"/>
    <sheet name="Algoritimos para Ensai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6" i="6" l="1"/>
  <c r="O36" i="6"/>
  <c r="N36" i="6"/>
  <c r="M36" i="6"/>
  <c r="L36" i="6"/>
  <c r="P33" i="6"/>
  <c r="O33" i="6"/>
  <c r="N33" i="6"/>
  <c r="M33" i="6"/>
  <c r="L33" i="6"/>
  <c r="Q36" i="6"/>
  <c r="J36" i="6"/>
  <c r="P30" i="6"/>
  <c r="O30" i="6"/>
  <c r="N30" i="6"/>
  <c r="M30" i="6"/>
  <c r="L30" i="6"/>
  <c r="Q33" i="6"/>
  <c r="J33" i="6"/>
  <c r="I6" i="7"/>
  <c r="H6" i="7"/>
  <c r="F6" i="7"/>
  <c r="I3" i="7"/>
  <c r="H3" i="7"/>
  <c r="F3" i="7"/>
  <c r="P24" i="6"/>
  <c r="O24" i="6"/>
  <c r="N24" i="6"/>
  <c r="M24" i="6"/>
  <c r="L24" i="6"/>
  <c r="P21" i="6"/>
  <c r="O21" i="6"/>
  <c r="N21" i="6"/>
  <c r="M21" i="6"/>
  <c r="L21" i="6"/>
  <c r="P18" i="6"/>
  <c r="O18" i="6"/>
  <c r="N18" i="6"/>
  <c r="M18" i="6"/>
  <c r="L18" i="6"/>
  <c r="P15" i="6"/>
  <c r="O15" i="6"/>
  <c r="N15" i="6"/>
  <c r="M15" i="6"/>
  <c r="L15" i="6"/>
  <c r="M4" i="5"/>
  <c r="L4" i="5"/>
  <c r="K4" i="5"/>
  <c r="J4" i="5"/>
  <c r="M3" i="5"/>
  <c r="L3" i="5"/>
  <c r="J3" i="5"/>
  <c r="K3" i="5"/>
  <c r="M2" i="5"/>
  <c r="L2" i="5"/>
  <c r="K2" i="5"/>
  <c r="J2" i="5"/>
  <c r="O27" i="6"/>
  <c r="P27" i="6"/>
  <c r="N27" i="6"/>
  <c r="M27" i="6"/>
  <c r="L27" i="6"/>
  <c r="P12" i="6"/>
  <c r="O12" i="6"/>
  <c r="N12" i="6"/>
  <c r="M12" i="6"/>
  <c r="L12" i="6"/>
  <c r="P9" i="6"/>
  <c r="O9" i="6"/>
  <c r="N9" i="6"/>
  <c r="M9" i="6"/>
  <c r="L9" i="6"/>
  <c r="P6" i="6"/>
  <c r="O6" i="6"/>
  <c r="N6" i="6"/>
  <c r="M6" i="6"/>
  <c r="L6" i="6"/>
  <c r="P3" i="6"/>
  <c r="O3" i="6"/>
  <c r="Q30" i="6"/>
  <c r="J30" i="6"/>
  <c r="Q27" i="6"/>
  <c r="J27" i="6"/>
  <c r="Q24" i="6"/>
  <c r="J24" i="6"/>
  <c r="Q21" i="6"/>
  <c r="J21" i="6"/>
  <c r="Q18" i="6"/>
  <c r="J18" i="6"/>
  <c r="Q15" i="6"/>
  <c r="J15" i="6"/>
  <c r="J12" i="6"/>
  <c r="J9" i="6"/>
  <c r="J6" i="6"/>
  <c r="J3" i="6"/>
  <c r="Q12" i="6"/>
  <c r="Q9" i="6"/>
  <c r="Q6" i="6"/>
  <c r="Q3" i="6"/>
  <c r="N3" i="6"/>
  <c r="M3" i="6"/>
  <c r="L3" i="6"/>
  <c r="U12" i="1"/>
  <c r="T12" i="1"/>
  <c r="S12" i="1"/>
  <c r="R12" i="1"/>
  <c r="U9" i="1"/>
  <c r="T9" i="1"/>
  <c r="S9" i="1"/>
  <c r="R9" i="1"/>
  <c r="U6" i="1"/>
  <c r="T6" i="1"/>
  <c r="S6" i="1"/>
  <c r="R6" i="1"/>
  <c r="V12" i="1"/>
  <c r="V9" i="1"/>
  <c r="V6" i="1"/>
  <c r="V3" i="1"/>
  <c r="U3" i="1"/>
  <c r="T3" i="1"/>
  <c r="S3" i="1"/>
  <c r="R3" i="1"/>
</calcChain>
</file>

<file path=xl/sharedStrings.xml><?xml version="1.0" encoding="utf-8"?>
<sst xmlns="http://schemas.openxmlformats.org/spreadsheetml/2006/main" count="237" uniqueCount="79">
  <si>
    <t>Nome do Algoritimo</t>
  </si>
  <si>
    <t>Teste</t>
  </si>
  <si>
    <t>Validação</t>
  </si>
  <si>
    <t>Fase</t>
  </si>
  <si>
    <t>Treinamento</t>
  </si>
  <si>
    <t>Default</t>
  </si>
  <si>
    <t>KNN</t>
  </si>
  <si>
    <t>Decision Tree</t>
  </si>
  <si>
    <t>Random Forest</t>
  </si>
  <si>
    <t>Logistic Regression</t>
  </si>
  <si>
    <t>Better Fit</t>
  </si>
  <si>
    <t>Accuracy</t>
  </si>
  <si>
    <t>Precision</t>
  </si>
  <si>
    <t>F1-Score</t>
  </si>
  <si>
    <t>Recall</t>
  </si>
  <si>
    <t>Classificação</t>
  </si>
  <si>
    <t>Logistc Regression</t>
  </si>
  <si>
    <t>Regressão</t>
  </si>
  <si>
    <t>Linear Regression</t>
  </si>
  <si>
    <t>Decision Tree Regression</t>
  </si>
  <si>
    <t>Random Forest Regression</t>
  </si>
  <si>
    <t>Polinomial Regressor</t>
  </si>
  <si>
    <t>Linear Regression Lasso</t>
  </si>
  <si>
    <t>Linear Regression Ridge</t>
  </si>
  <si>
    <t>Linear Regression ElasticNet</t>
  </si>
  <si>
    <t>Polinomial Regression Lasso</t>
  </si>
  <si>
    <t>Polinomial Regression Ridge</t>
  </si>
  <si>
    <t>Polinomial Regression ElasticNet</t>
  </si>
  <si>
    <t>Modelo</t>
  </si>
  <si>
    <t>Algoritimo</t>
  </si>
  <si>
    <t>Função de Custo/Performance</t>
  </si>
  <si>
    <t>Acuracia
Precisão
Recall
F1 - Score</t>
  </si>
  <si>
    <t>R²
MSE
RMSE
MAE
MAPE</t>
  </si>
  <si>
    <t>Clusterização</t>
  </si>
  <si>
    <t>K-Means</t>
  </si>
  <si>
    <t>Affinity Propagation</t>
  </si>
  <si>
    <t>SS (Silhouete Score)</t>
  </si>
  <si>
    <t>Parametros</t>
  </si>
  <si>
    <t>n_neighbors</t>
  </si>
  <si>
    <t>C, solver, max_iter</t>
  </si>
  <si>
    <t>max_depth</t>
  </si>
  <si>
    <t>n_estimators, max_depth</t>
  </si>
  <si>
    <t>degree</t>
  </si>
  <si>
    <t>degree, alpha, max_iter</t>
  </si>
  <si>
    <t>degree, alpha, l1_ratio</t>
  </si>
  <si>
    <t>alpha, max_iter</t>
  </si>
  <si>
    <t>alpha, max_iter, l1_ratio</t>
  </si>
  <si>
    <t>n_estimatores, max_depth</t>
  </si>
  <si>
    <t>k</t>
  </si>
  <si>
    <t>preference</t>
  </si>
  <si>
    <t>Better Fit vs Test</t>
  </si>
  <si>
    <t>KNN
k = 5</t>
  </si>
  <si>
    <t>Train + Val
 vs Test</t>
  </si>
  <si>
    <t>max_depth = 14</t>
  </si>
  <si>
    <t>n_estimators = 100
max_depth = 19</t>
  </si>
  <si>
    <t>n_neighbors = 4</t>
  </si>
  <si>
    <t>C = 1.0
solver = lbfgs
max_iter = 100</t>
  </si>
  <si>
    <t>Do KNN para o Decision Tree houve melhora pois os dados ignoram que as dimensões (features) estão em unidades diferentes e consegue alcançar excelentes numeros de Recall e Precision enquando a Random Forest apresentou os melhres resultados devido ao modelo ensemble de floresta
A Logistc Regression não consegue entender tão bem o modelo devido as relações não serem lineares entre as métricas e mesmo com a sigmoide ela tem dificuldade em predizer aluns valores</t>
  </si>
  <si>
    <t>R²</t>
  </si>
  <si>
    <t>MSE</t>
  </si>
  <si>
    <t>RMSE</t>
  </si>
  <si>
    <t>MAE</t>
  </si>
  <si>
    <t>MAPE</t>
  </si>
  <si>
    <t>alpha = 0.001
max_iter = 1000</t>
  </si>
  <si>
    <t>A Linear Regression Lasso faz uma seleção de fatures atraves do Alpha realizando iteraçãoes acabou não melhorando o modelo baseline (piorando levemente). O modelo desistiu de olhar para as características da música (energy, danceability, etc.) e passou a prever apenas a média aritmética da popularidade para toda a gente</t>
  </si>
  <si>
    <t>degree = 2</t>
  </si>
  <si>
    <t>alpha = 10
max_iter = 1000</t>
  </si>
  <si>
    <t>alpha = 0.001
max_iter = 1000
l1_ratio = 0.5</t>
  </si>
  <si>
    <t>max_depth = 5</t>
  </si>
  <si>
    <t>n_estimatores = 300
max_depth = 10</t>
  </si>
  <si>
    <t>degree = 2
alpha = 0.01
max_iter = 10000</t>
  </si>
  <si>
    <t>degree = 2
alpha = 1.0
max_iter = 10000</t>
  </si>
  <si>
    <t>alpha = 0.001
max_iter = 2000
l1_ratio = 0.8</t>
  </si>
  <si>
    <t>SS</t>
  </si>
  <si>
    <t>XGBoost</t>
  </si>
  <si>
    <t>LightGBM</t>
  </si>
  <si>
    <t>n_estimatores = 500
Num_Leaves = 63
learning_rate = 0.1</t>
  </si>
  <si>
    <t>n_estimatores = 300
max_depth = 10
learning_rate = 0.1</t>
  </si>
  <si>
    <t>K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</si>
</sst>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/>
    <xf numFmtId="0" fontId="0" fillId="2" borderId="6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2" borderId="19" xfId="0" applyFill="1" applyBorder="1" applyAlignment="1">
      <alignment horizontal="center"/>
    </xf>
    <xf numFmtId="0" fontId="0" fillId="2" borderId="19" xfId="0" applyFill="1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16" xfId="0" applyFill="1" applyBorder="1"/>
    <xf numFmtId="0" fontId="0" fillId="4" borderId="17" xfId="0" applyFill="1" applyBorder="1"/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5" fontId="0" fillId="2" borderId="19" xfId="0" applyNumberFormat="1" applyFill="1" applyBorder="1" applyAlignment="1">
      <alignment horizontal="center"/>
    </xf>
    <xf numFmtId="165" fontId="0" fillId="2" borderId="20" xfId="0" applyNumberForma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2" borderId="19" xfId="1" applyNumberFormat="1" applyFont="1" applyFill="1" applyBorder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0" fontId="0" fillId="2" borderId="16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0" fontId="0" fillId="2" borderId="13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3" xfId="0" applyNumberFormat="1" applyFill="1" applyBorder="1" applyAlignment="1">
      <alignment horizontal="center"/>
    </xf>
    <xf numFmtId="0" fontId="0" fillId="2" borderId="14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2" borderId="6" xfId="0" applyNumberFormat="1" applyFill="1" applyBorder="1" applyAlignment="1">
      <alignment horizontal="center"/>
    </xf>
    <xf numFmtId="0" fontId="0" fillId="2" borderId="16" xfId="0" applyNumberFormat="1" applyFill="1" applyBorder="1" applyAlignment="1">
      <alignment horizontal="center"/>
    </xf>
    <xf numFmtId="10" fontId="0" fillId="2" borderId="8" xfId="1" applyNumberFormat="1" applyFont="1" applyFill="1" applyBorder="1" applyAlignment="1">
      <alignment horizontal="center" vertical="center"/>
    </xf>
    <xf numFmtId="10" fontId="0" fillId="2" borderId="20" xfId="1" applyNumberFormat="1" applyFont="1" applyFill="1" applyBorder="1" applyAlignment="1">
      <alignment horizontal="center" vertical="center"/>
    </xf>
    <xf numFmtId="10" fontId="0" fillId="2" borderId="6" xfId="1" applyNumberFormat="1" applyFont="1" applyFill="1" applyBorder="1" applyAlignment="1">
      <alignment horizontal="center" vertical="center"/>
    </xf>
    <xf numFmtId="10" fontId="0" fillId="2" borderId="9" xfId="1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2" fontId="0" fillId="2" borderId="16" xfId="0" applyNumberFormat="1" applyFill="1" applyBorder="1" applyAlignment="1">
      <alignment horizontal="center"/>
    </xf>
    <xf numFmtId="10" fontId="0" fillId="2" borderId="1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NumberFormat="1" applyFill="1" applyBorder="1" applyAlignment="1">
      <alignment horizontal="center" vertical="center"/>
    </xf>
    <xf numFmtId="0" fontId="0" fillId="2" borderId="6" xfId="0" applyNumberFormat="1" applyFill="1" applyBorder="1" applyAlignment="1">
      <alignment horizontal="center" vertical="center"/>
    </xf>
    <xf numFmtId="0" fontId="0" fillId="2" borderId="17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B8D3-407F-4B0D-8BEC-5D00044E2F76}">
  <dimension ref="A1:V24"/>
  <sheetViews>
    <sheetView workbookViewId="0">
      <selection activeCell="J4" sqref="J4:M4"/>
    </sheetView>
  </sheetViews>
  <sheetFormatPr defaultRowHeight="14.4" x14ac:dyDescent="0.3"/>
  <cols>
    <col min="1" max="1" width="17.6640625" bestFit="1" customWidth="1"/>
    <col min="2" max="2" width="17.6640625" customWidth="1"/>
    <col min="3" max="4" width="8.33203125" bestFit="1" customWidth="1"/>
    <col min="5" max="5" width="6.5546875" bestFit="1" customWidth="1"/>
    <col min="6" max="6" width="8.109375" bestFit="1" customWidth="1"/>
    <col min="7" max="7" width="1.88671875" style="2" customWidth="1"/>
    <col min="8" max="8" width="17.6640625" bestFit="1" customWidth="1"/>
    <col min="9" max="9" width="11.44140625" bestFit="1" customWidth="1"/>
    <col min="10" max="11" width="8.33203125" bestFit="1" customWidth="1"/>
    <col min="12" max="12" width="6.5546875" bestFit="1" customWidth="1"/>
    <col min="13" max="13" width="8.109375" bestFit="1" customWidth="1"/>
    <col min="14" max="14" width="20.44140625" customWidth="1"/>
    <col min="15" max="15" width="2.33203125" style="2" customWidth="1"/>
    <col min="16" max="16" width="17.6640625" bestFit="1" customWidth="1"/>
    <col min="17" max="17" width="11.44140625" bestFit="1" customWidth="1"/>
    <col min="18" max="18" width="9.77734375" customWidth="1"/>
    <col min="19" max="19" width="10" customWidth="1"/>
    <col min="20" max="20" width="8.109375" customWidth="1"/>
    <col min="21" max="21" width="9.33203125" customWidth="1"/>
    <col min="22" max="22" width="18.77734375" customWidth="1"/>
  </cols>
  <sheetData>
    <row r="1" spans="1:22" ht="18" x14ac:dyDescent="0.35">
      <c r="A1" s="78" t="s">
        <v>5</v>
      </c>
      <c r="B1" s="79"/>
      <c r="C1" s="79"/>
      <c r="D1" s="79"/>
      <c r="E1" s="79"/>
      <c r="F1" s="80"/>
      <c r="G1" s="29"/>
      <c r="H1" s="61" t="s">
        <v>10</v>
      </c>
      <c r="I1" s="62"/>
      <c r="J1" s="62"/>
      <c r="K1" s="62"/>
      <c r="L1" s="62"/>
      <c r="M1" s="62"/>
      <c r="N1" s="62"/>
      <c r="O1" s="29"/>
      <c r="P1" s="61" t="s">
        <v>50</v>
      </c>
      <c r="Q1" s="62"/>
      <c r="R1" s="62"/>
      <c r="S1" s="62"/>
      <c r="T1" s="62"/>
      <c r="U1" s="62"/>
      <c r="V1" s="62"/>
    </row>
    <row r="2" spans="1:22" ht="28.8" customHeight="1" thickBot="1" x14ac:dyDescent="0.35">
      <c r="A2" s="17" t="s">
        <v>0</v>
      </c>
      <c r="B2" s="18" t="s">
        <v>3</v>
      </c>
      <c r="C2" s="18" t="s">
        <v>11</v>
      </c>
      <c r="D2" s="18" t="s">
        <v>12</v>
      </c>
      <c r="E2" s="18" t="s">
        <v>14</v>
      </c>
      <c r="F2" s="19" t="s">
        <v>13</v>
      </c>
      <c r="G2" s="16"/>
      <c r="H2" s="17" t="s">
        <v>0</v>
      </c>
      <c r="I2" s="18" t="s">
        <v>3</v>
      </c>
      <c r="J2" s="18" t="s">
        <v>11</v>
      </c>
      <c r="K2" s="18" t="s">
        <v>12</v>
      </c>
      <c r="L2" s="18" t="s">
        <v>14</v>
      </c>
      <c r="M2" s="19" t="s">
        <v>13</v>
      </c>
      <c r="N2" s="20" t="s">
        <v>37</v>
      </c>
      <c r="O2" s="15"/>
      <c r="P2" s="17" t="s">
        <v>0</v>
      </c>
      <c r="Q2" s="18" t="s">
        <v>3</v>
      </c>
      <c r="R2" s="18" t="s">
        <v>11</v>
      </c>
      <c r="S2" s="18" t="s">
        <v>12</v>
      </c>
      <c r="T2" s="18" t="s">
        <v>14</v>
      </c>
      <c r="U2" s="19" t="s">
        <v>13</v>
      </c>
      <c r="V2" s="20" t="s">
        <v>37</v>
      </c>
    </row>
    <row r="3" spans="1:22" ht="14.4" customHeight="1" x14ac:dyDescent="0.3">
      <c r="A3" s="77" t="s">
        <v>51</v>
      </c>
      <c r="B3" s="10" t="s">
        <v>4</v>
      </c>
      <c r="C3" s="87">
        <v>0.78159999999999996</v>
      </c>
      <c r="D3" s="87">
        <v>0.75590000000000002</v>
      </c>
      <c r="E3" s="87">
        <v>0.73260000000000003</v>
      </c>
      <c r="F3" s="88">
        <v>0.74399999999999999</v>
      </c>
      <c r="G3" s="10"/>
      <c r="H3" s="63" t="s">
        <v>6</v>
      </c>
      <c r="I3" s="10" t="s">
        <v>4</v>
      </c>
      <c r="J3" s="87">
        <v>0.83220000000000005</v>
      </c>
      <c r="K3" s="87">
        <v>0.81200000000000006</v>
      </c>
      <c r="L3" s="87">
        <v>0.7974</v>
      </c>
      <c r="M3" s="88">
        <v>0.80459999999999998</v>
      </c>
      <c r="N3" s="72" t="s">
        <v>55</v>
      </c>
      <c r="O3" s="26"/>
      <c r="P3" s="63" t="s">
        <v>6</v>
      </c>
      <c r="Q3" s="55" t="s">
        <v>52</v>
      </c>
      <c r="R3" s="60">
        <f>IF(J5="","",(J4-J5))</f>
        <v>-4.6300000000000008E-2</v>
      </c>
      <c r="S3" s="60">
        <f t="shared" ref="S3:U3" si="0">IF(K5="","",(K4-K5))</f>
        <v>-5.4899999999999949E-2</v>
      </c>
      <c r="T3" s="60">
        <f t="shared" si="0"/>
        <v>0.13979999999999998</v>
      </c>
      <c r="U3" s="60">
        <f t="shared" si="0"/>
        <v>5.9800000000000075E-2</v>
      </c>
      <c r="V3" s="65" t="str">
        <f>N3</f>
        <v>n_neighbors = 4</v>
      </c>
    </row>
    <row r="4" spans="1:22" x14ac:dyDescent="0.3">
      <c r="A4" s="97"/>
      <c r="B4" s="4" t="s">
        <v>2</v>
      </c>
      <c r="C4" s="89">
        <v>0.63180000000000003</v>
      </c>
      <c r="D4" s="89">
        <v>0.63180000000000003</v>
      </c>
      <c r="E4" s="89">
        <v>0.60319999999999996</v>
      </c>
      <c r="F4" s="90">
        <v>0.61709999999999998</v>
      </c>
      <c r="G4" s="4"/>
      <c r="H4" s="50"/>
      <c r="I4" s="4" t="s">
        <v>2</v>
      </c>
      <c r="J4" s="89">
        <v>0.62790000000000001</v>
      </c>
      <c r="K4" s="89">
        <v>0.62790000000000001</v>
      </c>
      <c r="L4" s="89">
        <v>0.62129999999999996</v>
      </c>
      <c r="M4" s="90">
        <v>0.62450000000000006</v>
      </c>
      <c r="N4" s="73"/>
      <c r="O4" s="27"/>
      <c r="P4" s="50"/>
      <c r="Q4" s="56"/>
      <c r="R4" s="45"/>
      <c r="S4" s="45"/>
      <c r="T4" s="45"/>
      <c r="U4" s="45"/>
      <c r="V4" s="66"/>
    </row>
    <row r="5" spans="1:22" x14ac:dyDescent="0.3">
      <c r="A5" s="98"/>
      <c r="B5" s="11" t="s">
        <v>1</v>
      </c>
      <c r="C5" s="24"/>
      <c r="D5" s="24"/>
      <c r="E5" s="24"/>
      <c r="F5" s="25"/>
      <c r="G5" s="12"/>
      <c r="H5" s="64"/>
      <c r="I5" s="11" t="s">
        <v>1</v>
      </c>
      <c r="J5" s="91">
        <v>0.67420000000000002</v>
      </c>
      <c r="K5" s="23">
        <v>0.68279999999999996</v>
      </c>
      <c r="L5" s="33">
        <v>0.48149999999999998</v>
      </c>
      <c r="M5" s="32">
        <v>0.56469999999999998</v>
      </c>
      <c r="N5" s="73"/>
      <c r="O5" s="27"/>
      <c r="P5" s="64"/>
      <c r="Q5" s="56"/>
      <c r="R5" s="46"/>
      <c r="S5" s="46"/>
      <c r="T5" s="46"/>
      <c r="U5" s="46"/>
      <c r="V5" s="67"/>
    </row>
    <row r="6" spans="1:22" x14ac:dyDescent="0.3">
      <c r="A6" s="49" t="s">
        <v>7</v>
      </c>
      <c r="B6" s="13" t="s">
        <v>4</v>
      </c>
      <c r="C6" s="38">
        <v>1</v>
      </c>
      <c r="D6" s="38">
        <v>1</v>
      </c>
      <c r="E6" s="38">
        <v>1</v>
      </c>
      <c r="F6" s="39">
        <v>1</v>
      </c>
      <c r="G6" s="14"/>
      <c r="H6" s="49" t="s">
        <v>7</v>
      </c>
      <c r="I6" s="13" t="s">
        <v>4</v>
      </c>
      <c r="J6" s="34">
        <v>0.97450000000000003</v>
      </c>
      <c r="K6" s="34">
        <v>0.98170000000000002</v>
      </c>
      <c r="L6" s="34">
        <v>0.95899999999999996</v>
      </c>
      <c r="M6" s="40">
        <v>0.97019999999999995</v>
      </c>
      <c r="N6" s="74" t="s">
        <v>53</v>
      </c>
      <c r="O6" s="15"/>
      <c r="P6" s="49" t="s">
        <v>7</v>
      </c>
      <c r="Q6" s="57" t="s">
        <v>52</v>
      </c>
      <c r="R6" s="44">
        <f>IF(J8="","",(J7-J8))</f>
        <v>-2.9000000000000137E-3</v>
      </c>
      <c r="S6" s="44">
        <f t="shared" ref="S6:U6" si="1">IF(K8="","",(K7-K8))</f>
        <v>1.3000000000000789E-3</v>
      </c>
      <c r="T6" s="44">
        <f t="shared" si="1"/>
        <v>-9.8000000000000309E-3</v>
      </c>
      <c r="U6" s="44">
        <f t="shared" si="1"/>
        <v>-4.3999999999999595E-3</v>
      </c>
      <c r="V6" s="68" t="str">
        <f>N6</f>
        <v>max_depth = 14</v>
      </c>
    </row>
    <row r="7" spans="1:22" x14ac:dyDescent="0.3">
      <c r="A7" s="50"/>
      <c r="B7" s="4" t="s">
        <v>2</v>
      </c>
      <c r="C7" s="4">
        <v>0.94489999999999996</v>
      </c>
      <c r="D7" s="4">
        <v>0.93489999999999995</v>
      </c>
      <c r="E7" s="4">
        <v>0.93810000000000004</v>
      </c>
      <c r="F7" s="5">
        <v>0.9365</v>
      </c>
      <c r="G7" s="6"/>
      <c r="H7" s="50"/>
      <c r="I7" s="4" t="s">
        <v>2</v>
      </c>
      <c r="J7" s="22">
        <v>0.95250000000000001</v>
      </c>
      <c r="K7" s="22">
        <v>0.95640000000000003</v>
      </c>
      <c r="L7" s="22">
        <v>0.93289999999999995</v>
      </c>
      <c r="M7" s="35">
        <v>0.94450000000000001</v>
      </c>
      <c r="N7" s="74"/>
      <c r="O7" s="15"/>
      <c r="P7" s="50"/>
      <c r="Q7" s="56"/>
      <c r="R7" s="45"/>
      <c r="S7" s="45"/>
      <c r="T7" s="45"/>
      <c r="U7" s="45"/>
      <c r="V7" s="69"/>
    </row>
    <row r="8" spans="1:22" x14ac:dyDescent="0.3">
      <c r="A8" s="64"/>
      <c r="B8" s="11" t="s">
        <v>1</v>
      </c>
      <c r="C8" s="24"/>
      <c r="D8" s="24"/>
      <c r="E8" s="24"/>
      <c r="F8" s="25"/>
      <c r="G8" s="12"/>
      <c r="H8" s="64"/>
      <c r="I8" s="11" t="s">
        <v>1</v>
      </c>
      <c r="J8" s="23">
        <v>0.95540000000000003</v>
      </c>
      <c r="K8" s="23">
        <v>0.95509999999999995</v>
      </c>
      <c r="L8" s="23">
        <v>0.94269999999999998</v>
      </c>
      <c r="M8" s="31">
        <v>0.94889999999999997</v>
      </c>
      <c r="N8" s="74"/>
      <c r="O8" s="15"/>
      <c r="P8" s="64"/>
      <c r="Q8" s="58"/>
      <c r="R8" s="46"/>
      <c r="S8" s="46"/>
      <c r="T8" s="46"/>
      <c r="U8" s="46"/>
      <c r="V8" s="70"/>
    </row>
    <row r="9" spans="1:22" ht="14.4" customHeight="1" x14ac:dyDescent="0.3">
      <c r="A9" s="49" t="s">
        <v>8</v>
      </c>
      <c r="B9" s="13" t="s">
        <v>4</v>
      </c>
      <c r="C9" s="14">
        <v>0.97560000000000002</v>
      </c>
      <c r="D9" s="14">
        <v>0.98580000000000001</v>
      </c>
      <c r="E9" s="14">
        <v>0.95520000000000005</v>
      </c>
      <c r="F9" s="40">
        <v>0.96909999999999996</v>
      </c>
      <c r="G9" s="14"/>
      <c r="H9" s="49" t="s">
        <v>8</v>
      </c>
      <c r="I9" s="13" t="s">
        <v>4</v>
      </c>
      <c r="J9" s="34">
        <v>0.97360000000000002</v>
      </c>
      <c r="K9" s="34">
        <v>0.98340000000000005</v>
      </c>
      <c r="L9" s="34">
        <v>0.95520000000000005</v>
      </c>
      <c r="M9" s="40">
        <v>0.96909999999999996</v>
      </c>
      <c r="N9" s="73" t="s">
        <v>54</v>
      </c>
      <c r="O9" s="27"/>
      <c r="P9" s="49" t="s">
        <v>8</v>
      </c>
      <c r="Q9" s="56" t="s">
        <v>52</v>
      </c>
      <c r="R9" s="44">
        <f>IF(J11="","",(J10-J11))</f>
        <v>-3.0000000000000027E-3</v>
      </c>
      <c r="S9" s="44">
        <f t="shared" ref="S9:U9" si="2">IF(K11="","",(K10-K11))</f>
        <v>-2.2999999999999687E-3</v>
      </c>
      <c r="T9" s="44">
        <f t="shared" si="2"/>
        <v>-5.8000000000000274E-3</v>
      </c>
      <c r="U9" s="44">
        <f t="shared" si="2"/>
        <v>-4.0999999999999925E-3</v>
      </c>
      <c r="V9" s="71" t="str">
        <f>N9</f>
        <v>n_estimators = 100
max_depth = 19</v>
      </c>
    </row>
    <row r="10" spans="1:22" ht="14.4" customHeight="1" x14ac:dyDescent="0.3">
      <c r="A10" s="50"/>
      <c r="B10" s="4" t="s">
        <v>2</v>
      </c>
      <c r="C10" s="6">
        <v>0.96160000000000001</v>
      </c>
      <c r="D10" s="6">
        <v>0.97070000000000001</v>
      </c>
      <c r="E10" s="6">
        <v>0.93979999999999997</v>
      </c>
      <c r="F10" s="7">
        <v>0.95499999999999996</v>
      </c>
      <c r="G10" s="6"/>
      <c r="H10" s="50"/>
      <c r="I10" s="4" t="s">
        <v>2</v>
      </c>
      <c r="J10" s="22">
        <v>0.96160000000000001</v>
      </c>
      <c r="K10" s="22">
        <v>0.97070000000000001</v>
      </c>
      <c r="L10" s="22">
        <v>0.93979999999999997</v>
      </c>
      <c r="M10" s="35">
        <v>0.95499999999999996</v>
      </c>
      <c r="N10" s="74"/>
      <c r="O10" s="15"/>
      <c r="P10" s="50"/>
      <c r="Q10" s="56"/>
      <c r="R10" s="45"/>
      <c r="S10" s="45"/>
      <c r="T10" s="45"/>
      <c r="U10" s="45"/>
      <c r="V10" s="66"/>
    </row>
    <row r="11" spans="1:22" x14ac:dyDescent="0.3">
      <c r="A11" s="64"/>
      <c r="B11" s="11" t="s">
        <v>1</v>
      </c>
      <c r="C11" s="24"/>
      <c r="D11" s="24"/>
      <c r="E11" s="24"/>
      <c r="F11" s="25"/>
      <c r="G11" s="12"/>
      <c r="H11" s="64"/>
      <c r="I11" s="11" t="s">
        <v>1</v>
      </c>
      <c r="J11" s="23">
        <v>0.96460000000000001</v>
      </c>
      <c r="K11" s="23">
        <v>0.97299999999999998</v>
      </c>
      <c r="L11" s="23">
        <v>0.9456</v>
      </c>
      <c r="M11" s="31">
        <v>0.95909999999999995</v>
      </c>
      <c r="N11" s="74"/>
      <c r="O11" s="15"/>
      <c r="P11" s="64"/>
      <c r="Q11" s="58"/>
      <c r="R11" s="46"/>
      <c r="S11" s="46"/>
      <c r="T11" s="46"/>
      <c r="U11" s="46"/>
      <c r="V11" s="67"/>
    </row>
    <row r="12" spans="1:22" ht="14.4" customHeight="1" x14ac:dyDescent="0.3">
      <c r="A12" s="49" t="s">
        <v>9</v>
      </c>
      <c r="B12" s="4" t="s">
        <v>4</v>
      </c>
      <c r="C12" s="22">
        <v>0.87529999999999997</v>
      </c>
      <c r="D12" s="22">
        <v>0.87070000000000003</v>
      </c>
      <c r="E12" s="22">
        <v>0.83640000000000003</v>
      </c>
      <c r="F12" s="35">
        <v>0.85319999999999996</v>
      </c>
      <c r="G12" s="6"/>
      <c r="H12" s="50" t="s">
        <v>9</v>
      </c>
      <c r="I12" s="4" t="s">
        <v>4</v>
      </c>
      <c r="J12" s="22">
        <v>0.87529999999999997</v>
      </c>
      <c r="K12" s="22">
        <v>0.87070000000000003</v>
      </c>
      <c r="L12" s="22">
        <v>0.83640000000000003</v>
      </c>
      <c r="M12" s="35">
        <v>0.85319999999999996</v>
      </c>
      <c r="N12" s="75" t="s">
        <v>56</v>
      </c>
      <c r="O12" s="28"/>
      <c r="P12" s="49" t="s">
        <v>9</v>
      </c>
      <c r="Q12" s="57" t="s">
        <v>52</v>
      </c>
      <c r="R12" s="44">
        <f>IF(J14="","",(J13-J14))</f>
        <v>3.0999999999999917E-3</v>
      </c>
      <c r="S12" s="44">
        <f t="shared" ref="S12:U12" si="3">IF(K14="","",(K13-K14))</f>
        <v>6.9999999999992291E-4</v>
      </c>
      <c r="T12" s="44">
        <f t="shared" si="3"/>
        <v>2.9000000000000137E-3</v>
      </c>
      <c r="U12" s="93">
        <f t="shared" si="3"/>
        <v>1.8000000000000238E-3</v>
      </c>
      <c r="V12" s="52" t="str">
        <f>N12</f>
        <v>C = 1.0
solver = lbfgs
max_iter = 100</v>
      </c>
    </row>
    <row r="13" spans="1:22" x14ac:dyDescent="0.3">
      <c r="A13" s="50"/>
      <c r="B13" s="4" t="s">
        <v>2</v>
      </c>
      <c r="C13" s="22">
        <v>0.87419999999999998</v>
      </c>
      <c r="D13" s="22">
        <v>0.86919999999999997</v>
      </c>
      <c r="E13" s="22">
        <v>0.83530000000000004</v>
      </c>
      <c r="F13" s="35">
        <v>0.85189999999999999</v>
      </c>
      <c r="G13" s="6"/>
      <c r="H13" s="50"/>
      <c r="I13" s="4" t="s">
        <v>2</v>
      </c>
      <c r="J13" s="22">
        <v>0.87419999999999998</v>
      </c>
      <c r="K13" s="22">
        <v>0.86919999999999997</v>
      </c>
      <c r="L13" s="22">
        <v>0.83530000000000004</v>
      </c>
      <c r="M13" s="35">
        <v>0.85189999999999999</v>
      </c>
      <c r="N13" s="76"/>
      <c r="O13" s="3"/>
      <c r="P13" s="50"/>
      <c r="Q13" s="56"/>
      <c r="R13" s="45"/>
      <c r="S13" s="45"/>
      <c r="T13" s="45"/>
      <c r="U13" s="94"/>
      <c r="V13" s="53"/>
    </row>
    <row r="14" spans="1:22" x14ac:dyDescent="0.3">
      <c r="A14" s="51"/>
      <c r="B14" s="8" t="s">
        <v>1</v>
      </c>
      <c r="C14" s="24"/>
      <c r="D14" s="24"/>
      <c r="E14" s="24"/>
      <c r="F14" s="25"/>
      <c r="G14" s="9"/>
      <c r="H14" s="51"/>
      <c r="I14" s="8" t="s">
        <v>1</v>
      </c>
      <c r="J14" s="36">
        <v>0.87109999999999999</v>
      </c>
      <c r="K14" s="36">
        <v>0.86850000000000005</v>
      </c>
      <c r="L14" s="36">
        <v>0.83240000000000003</v>
      </c>
      <c r="M14" s="37">
        <v>0.85009999999999997</v>
      </c>
      <c r="N14" s="76"/>
      <c r="O14" s="3"/>
      <c r="P14" s="51"/>
      <c r="Q14" s="59"/>
      <c r="R14" s="92"/>
      <c r="S14" s="92"/>
      <c r="T14" s="92"/>
      <c r="U14" s="95"/>
      <c r="V14" s="54"/>
    </row>
    <row r="16" spans="1:22" x14ac:dyDescent="0.3">
      <c r="P16" s="43" t="s">
        <v>57</v>
      </c>
      <c r="Q16" s="43"/>
      <c r="R16" s="43"/>
      <c r="S16" s="43"/>
      <c r="T16" s="43"/>
      <c r="U16" s="43"/>
      <c r="V16" s="43"/>
    </row>
    <row r="17" spans="16:22" x14ac:dyDescent="0.3">
      <c r="P17" s="43"/>
      <c r="Q17" s="43"/>
      <c r="R17" s="43"/>
      <c r="S17" s="43"/>
      <c r="T17" s="43"/>
      <c r="U17" s="43"/>
      <c r="V17" s="43"/>
    </row>
    <row r="18" spans="16:22" x14ac:dyDescent="0.3">
      <c r="P18" s="43"/>
      <c r="Q18" s="43"/>
      <c r="R18" s="43"/>
      <c r="S18" s="43"/>
      <c r="T18" s="43"/>
      <c r="U18" s="43"/>
      <c r="V18" s="43"/>
    </row>
    <row r="19" spans="16:22" x14ac:dyDescent="0.3">
      <c r="P19" s="43"/>
      <c r="Q19" s="43"/>
      <c r="R19" s="43"/>
      <c r="S19" s="43"/>
      <c r="T19" s="43"/>
      <c r="U19" s="43"/>
      <c r="V19" s="43"/>
    </row>
    <row r="20" spans="16:22" x14ac:dyDescent="0.3">
      <c r="P20" s="43"/>
      <c r="Q20" s="43"/>
      <c r="R20" s="43"/>
      <c r="S20" s="43"/>
      <c r="T20" s="43"/>
      <c r="U20" s="43"/>
      <c r="V20" s="43"/>
    </row>
    <row r="21" spans="16:22" x14ac:dyDescent="0.3">
      <c r="P21" s="43"/>
      <c r="Q21" s="43"/>
      <c r="R21" s="43"/>
      <c r="S21" s="43"/>
      <c r="T21" s="43"/>
      <c r="U21" s="43"/>
      <c r="V21" s="43"/>
    </row>
    <row r="22" spans="16:22" x14ac:dyDescent="0.3">
      <c r="P22" s="43"/>
      <c r="Q22" s="43"/>
      <c r="R22" s="43"/>
      <c r="S22" s="43"/>
      <c r="T22" s="43"/>
      <c r="U22" s="43"/>
      <c r="V22" s="43"/>
    </row>
    <row r="23" spans="16:22" x14ac:dyDescent="0.3">
      <c r="P23" s="43"/>
      <c r="Q23" s="43"/>
      <c r="R23" s="43"/>
      <c r="S23" s="43"/>
      <c r="T23" s="43"/>
      <c r="U23" s="43"/>
      <c r="V23" s="43"/>
    </row>
    <row r="24" spans="16:22" x14ac:dyDescent="0.3">
      <c r="P24" s="43"/>
      <c r="Q24" s="43"/>
      <c r="R24" s="43"/>
      <c r="S24" s="43"/>
      <c r="T24" s="43"/>
      <c r="U24" s="43"/>
      <c r="V24" s="43"/>
    </row>
  </sheetData>
  <mergeCells count="44">
    <mergeCell ref="A12:A14"/>
    <mergeCell ref="H12:H14"/>
    <mergeCell ref="H1:N1"/>
    <mergeCell ref="N3:N5"/>
    <mergeCell ref="N6:N8"/>
    <mergeCell ref="N9:N11"/>
    <mergeCell ref="N12:N14"/>
    <mergeCell ref="A3:A5"/>
    <mergeCell ref="A6:A8"/>
    <mergeCell ref="A1:F1"/>
    <mergeCell ref="H3:H5"/>
    <mergeCell ref="H6:H8"/>
    <mergeCell ref="A9:A11"/>
    <mergeCell ref="V9:V11"/>
    <mergeCell ref="U3:U5"/>
    <mergeCell ref="R6:R8"/>
    <mergeCell ref="S6:S8"/>
    <mergeCell ref="H9:H11"/>
    <mergeCell ref="S3:S5"/>
    <mergeCell ref="T3:T5"/>
    <mergeCell ref="P1:V1"/>
    <mergeCell ref="P3:P5"/>
    <mergeCell ref="V3:V5"/>
    <mergeCell ref="Q3:Q5"/>
    <mergeCell ref="Q6:Q8"/>
    <mergeCell ref="Q9:Q11"/>
    <mergeCell ref="Q12:Q14"/>
    <mergeCell ref="R3:R5"/>
    <mergeCell ref="U12:U14"/>
    <mergeCell ref="P16:V24"/>
    <mergeCell ref="T6:T8"/>
    <mergeCell ref="U6:U8"/>
    <mergeCell ref="R9:R11"/>
    <mergeCell ref="S9:S11"/>
    <mergeCell ref="T9:T11"/>
    <mergeCell ref="U9:U11"/>
    <mergeCell ref="R12:R14"/>
    <mergeCell ref="S12:S14"/>
    <mergeCell ref="T12:T14"/>
    <mergeCell ref="P12:P14"/>
    <mergeCell ref="V12:V14"/>
    <mergeCell ref="P6:P8"/>
    <mergeCell ref="V6:V8"/>
    <mergeCell ref="P9:P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17C0-241E-4DDF-8CAC-EE0D5BEE8BE4}">
  <dimension ref="A1:Q48"/>
  <sheetViews>
    <sheetView zoomScale="70" zoomScaleNormal="70" workbookViewId="0">
      <selection activeCell="C27" sqref="C27"/>
    </sheetView>
  </sheetViews>
  <sheetFormatPr defaultRowHeight="14.4" x14ac:dyDescent="0.3"/>
  <cols>
    <col min="1" max="1" width="17.6640625" bestFit="1" customWidth="1"/>
    <col min="2" max="2" width="11.44140625" bestFit="1" customWidth="1"/>
    <col min="3" max="4" width="8.33203125" bestFit="1" customWidth="1"/>
    <col min="5" max="5" width="8.21875" bestFit="1" customWidth="1"/>
    <col min="6" max="6" width="7.109375" customWidth="1"/>
    <col min="7" max="7" width="10.77734375" bestFit="1" customWidth="1"/>
    <col min="8" max="8" width="20.44140625" customWidth="1"/>
    <col min="9" max="9" width="1.6640625" style="2" customWidth="1"/>
    <col min="10" max="10" width="17.6640625" bestFit="1" customWidth="1"/>
    <col min="11" max="11" width="11.44140625" bestFit="1" customWidth="1"/>
    <col min="12" max="12" width="9.77734375" customWidth="1"/>
    <col min="13" max="13" width="10" customWidth="1"/>
    <col min="14" max="14" width="8.109375" customWidth="1"/>
    <col min="15" max="16" width="9.33203125" customWidth="1"/>
    <col min="17" max="17" width="18.77734375" customWidth="1"/>
  </cols>
  <sheetData>
    <row r="1" spans="1:17" ht="18" x14ac:dyDescent="0.35">
      <c r="A1" s="61" t="s">
        <v>10</v>
      </c>
      <c r="B1" s="62"/>
      <c r="C1" s="62"/>
      <c r="D1" s="62"/>
      <c r="E1" s="62"/>
      <c r="F1" s="62"/>
      <c r="G1" s="62"/>
      <c r="H1" s="62"/>
      <c r="I1" s="29"/>
      <c r="J1" s="61" t="s">
        <v>50</v>
      </c>
      <c r="K1" s="62"/>
      <c r="L1" s="62"/>
      <c r="M1" s="62"/>
      <c r="N1" s="62"/>
      <c r="O1" s="62"/>
      <c r="P1" s="62"/>
      <c r="Q1" s="62"/>
    </row>
    <row r="2" spans="1:17" ht="28.8" customHeight="1" thickBot="1" x14ac:dyDescent="0.35">
      <c r="A2" s="17" t="s">
        <v>0</v>
      </c>
      <c r="B2" s="18" t="s">
        <v>3</v>
      </c>
      <c r="C2" s="18" t="s">
        <v>58</v>
      </c>
      <c r="D2" s="18" t="s">
        <v>59</v>
      </c>
      <c r="E2" s="18" t="s">
        <v>60</v>
      </c>
      <c r="F2" s="18" t="s">
        <v>61</v>
      </c>
      <c r="G2" s="18" t="s">
        <v>62</v>
      </c>
      <c r="H2" s="20" t="s">
        <v>37</v>
      </c>
      <c r="I2" s="15"/>
      <c r="J2" s="17" t="s">
        <v>0</v>
      </c>
      <c r="K2" s="18" t="s">
        <v>3</v>
      </c>
      <c r="L2" s="18" t="s">
        <v>58</v>
      </c>
      <c r="M2" s="18" t="s">
        <v>59</v>
      </c>
      <c r="N2" s="18" t="s">
        <v>60</v>
      </c>
      <c r="O2" s="18" t="s">
        <v>61</v>
      </c>
      <c r="P2" s="18" t="s">
        <v>62</v>
      </c>
      <c r="Q2" s="20" t="s">
        <v>37</v>
      </c>
    </row>
    <row r="3" spans="1:17" ht="14.4" customHeight="1" x14ac:dyDescent="0.3">
      <c r="A3" s="77" t="s">
        <v>18</v>
      </c>
      <c r="B3" s="10" t="s">
        <v>4</v>
      </c>
      <c r="C3" s="87">
        <v>4.6100000000000002E-2</v>
      </c>
      <c r="D3" s="87">
        <v>456</v>
      </c>
      <c r="E3" s="87">
        <v>21.35</v>
      </c>
      <c r="F3" s="87">
        <v>17</v>
      </c>
      <c r="G3" s="87">
        <v>865.32</v>
      </c>
      <c r="H3" s="72"/>
      <c r="I3" s="30"/>
      <c r="J3" s="77" t="str">
        <f>A3</f>
        <v>Linear Regression</v>
      </c>
      <c r="K3" s="55" t="s">
        <v>52</v>
      </c>
      <c r="L3" s="60">
        <f>IF(C5="","",(C4-C5))</f>
        <v>-1.1300000000000004E-2</v>
      </c>
      <c r="M3" s="60">
        <f>IF(D5="","",(D4-D5))</f>
        <v>-3.5400000000000205</v>
      </c>
      <c r="N3" s="60">
        <f>IF(E5="","",(E4-E5))</f>
        <v>-7.9999999999998295E-2</v>
      </c>
      <c r="O3" s="60">
        <f>IF(F5="","",(F4-F5))</f>
        <v>-0.10000000000000142</v>
      </c>
      <c r="P3" s="60">
        <f>IF(G5="","",(G4-G5))</f>
        <v>12.180000000000064</v>
      </c>
      <c r="Q3" s="65">
        <f>H3</f>
        <v>0</v>
      </c>
    </row>
    <row r="4" spans="1:17" x14ac:dyDescent="0.3">
      <c r="A4" s="97"/>
      <c r="B4" s="22" t="s">
        <v>2</v>
      </c>
      <c r="C4" s="89">
        <v>3.9899999999999998E-2</v>
      </c>
      <c r="D4" s="89">
        <v>458.45</v>
      </c>
      <c r="E4" s="89">
        <v>21.41</v>
      </c>
      <c r="F4" s="89">
        <v>17.04</v>
      </c>
      <c r="G4" s="89">
        <v>865.32</v>
      </c>
      <c r="H4" s="73"/>
      <c r="I4" s="27"/>
      <c r="J4" s="97"/>
      <c r="K4" s="56"/>
      <c r="L4" s="45"/>
      <c r="M4" s="45"/>
      <c r="N4" s="45"/>
      <c r="O4" s="45"/>
      <c r="P4" s="45"/>
      <c r="Q4" s="66"/>
    </row>
    <row r="5" spans="1:17" x14ac:dyDescent="0.3">
      <c r="A5" s="98"/>
      <c r="B5" s="23" t="s">
        <v>1</v>
      </c>
      <c r="C5" s="91">
        <v>5.1200000000000002E-2</v>
      </c>
      <c r="D5" s="23">
        <v>461.99</v>
      </c>
      <c r="E5" s="100">
        <v>21.49</v>
      </c>
      <c r="F5" s="100">
        <v>17.14</v>
      </c>
      <c r="G5" s="32">
        <v>853.14</v>
      </c>
      <c r="H5" s="73"/>
      <c r="I5" s="27"/>
      <c r="J5" s="98"/>
      <c r="K5" s="56"/>
      <c r="L5" s="45"/>
      <c r="M5" s="45"/>
      <c r="N5" s="45"/>
      <c r="O5" s="45"/>
      <c r="P5" s="45"/>
      <c r="Q5" s="67"/>
    </row>
    <row r="6" spans="1:17" x14ac:dyDescent="0.3">
      <c r="A6" s="96" t="s">
        <v>22</v>
      </c>
      <c r="B6" s="34" t="s">
        <v>4</v>
      </c>
      <c r="C6" s="34">
        <v>4.6100000000000002E-2</v>
      </c>
      <c r="D6" s="34">
        <v>456</v>
      </c>
      <c r="E6" s="34">
        <v>21.35</v>
      </c>
      <c r="F6" s="34">
        <v>17</v>
      </c>
      <c r="G6" s="40">
        <v>865.39</v>
      </c>
      <c r="H6" s="73" t="s">
        <v>63</v>
      </c>
      <c r="I6" s="15"/>
      <c r="J6" s="96" t="str">
        <f>A6</f>
        <v>Linear Regression Lasso</v>
      </c>
      <c r="K6" s="57" t="s">
        <v>52</v>
      </c>
      <c r="L6" s="44">
        <f>IF(C8="","",(C7-C8))</f>
        <v>-1.1200000000000002E-2</v>
      </c>
      <c r="M6" s="44">
        <f>IF(D8="","",(D7-D8))</f>
        <v>-3.5600000000000023</v>
      </c>
      <c r="N6" s="44">
        <f>IF(E8="","",(E7-E8))</f>
        <v>-7.9999999999998295E-2</v>
      </c>
      <c r="O6" s="44">
        <f>IF(F8="","",(F7-F8))</f>
        <v>-0.10000000000000142</v>
      </c>
      <c r="P6" s="93">
        <f>IF(G8="","",(G7-G8))</f>
        <v>14.980000000000018</v>
      </c>
      <c r="Q6" s="71" t="str">
        <f>H6</f>
        <v>alpha = 0.001
max_iter = 1000</v>
      </c>
    </row>
    <row r="7" spans="1:17" x14ac:dyDescent="0.3">
      <c r="A7" s="97"/>
      <c r="B7" s="22" t="s">
        <v>2</v>
      </c>
      <c r="C7" s="22">
        <v>3.9899999999999998E-2</v>
      </c>
      <c r="D7" s="22">
        <v>458.44</v>
      </c>
      <c r="E7" s="22">
        <v>21.41</v>
      </c>
      <c r="F7" s="22">
        <v>17.04</v>
      </c>
      <c r="G7" s="35">
        <v>868.29</v>
      </c>
      <c r="H7" s="74"/>
      <c r="I7" s="15"/>
      <c r="J7" s="97"/>
      <c r="K7" s="56"/>
      <c r="L7" s="45"/>
      <c r="M7" s="45"/>
      <c r="N7" s="45"/>
      <c r="O7" s="45"/>
      <c r="P7" s="94"/>
      <c r="Q7" s="66"/>
    </row>
    <row r="8" spans="1:17" x14ac:dyDescent="0.3">
      <c r="A8" s="98"/>
      <c r="B8" s="23" t="s">
        <v>1</v>
      </c>
      <c r="C8" s="23">
        <v>5.11E-2</v>
      </c>
      <c r="D8" s="23">
        <v>462</v>
      </c>
      <c r="E8" s="23">
        <v>21.49</v>
      </c>
      <c r="F8" s="23">
        <v>17.14</v>
      </c>
      <c r="G8" s="31">
        <v>853.31</v>
      </c>
      <c r="H8" s="74"/>
      <c r="I8" s="15"/>
      <c r="J8" s="98"/>
      <c r="K8" s="58"/>
      <c r="L8" s="45"/>
      <c r="M8" s="45"/>
      <c r="N8" s="45"/>
      <c r="O8" s="45"/>
      <c r="P8" s="94"/>
      <c r="Q8" s="67"/>
    </row>
    <row r="9" spans="1:17" ht="14.4" customHeight="1" x14ac:dyDescent="0.3">
      <c r="A9" s="96" t="s">
        <v>23</v>
      </c>
      <c r="B9" s="34" t="s">
        <v>4</v>
      </c>
      <c r="C9" s="34">
        <v>4.5999999999999999E-2</v>
      </c>
      <c r="D9" s="34">
        <v>456.02</v>
      </c>
      <c r="E9" s="34">
        <v>21.35</v>
      </c>
      <c r="F9" s="34">
        <v>17</v>
      </c>
      <c r="G9" s="40">
        <v>865.52</v>
      </c>
      <c r="H9" s="73" t="s">
        <v>66</v>
      </c>
      <c r="I9" s="27"/>
      <c r="J9" s="96" t="str">
        <f>A9</f>
        <v>Linear Regression Ridge</v>
      </c>
      <c r="K9" s="56" t="s">
        <v>52</v>
      </c>
      <c r="L9" s="44">
        <f>IF(C11="","",(C10-C11))</f>
        <v>-1.1200000000000002E-2</v>
      </c>
      <c r="M9" s="44">
        <f>IF(D11="","",(D10-D11))</f>
        <v>-3.5699999999999932</v>
      </c>
      <c r="N9" s="44">
        <f>IF(E11="","",(E10-E11))</f>
        <v>-7.9999999999998295E-2</v>
      </c>
      <c r="O9" s="44">
        <f>IF(F11="","",(F10-F11))</f>
        <v>-0.10000000000000142</v>
      </c>
      <c r="P9" s="93">
        <f>IF(G11="","",(G10-G11))</f>
        <v>14.350000000000023</v>
      </c>
      <c r="Q9" s="71" t="str">
        <f>H9</f>
        <v>alpha = 10
max_iter = 1000</v>
      </c>
    </row>
    <row r="10" spans="1:17" ht="14.4" customHeight="1" x14ac:dyDescent="0.3">
      <c r="A10" s="97"/>
      <c r="B10" s="22" t="s">
        <v>2</v>
      </c>
      <c r="C10" s="22">
        <v>3.9899999999999998E-2</v>
      </c>
      <c r="D10" s="22">
        <v>458.44</v>
      </c>
      <c r="E10" s="22">
        <v>21.41</v>
      </c>
      <c r="F10" s="22">
        <v>17.04</v>
      </c>
      <c r="G10" s="35">
        <v>868.13</v>
      </c>
      <c r="H10" s="74"/>
      <c r="I10" s="15"/>
      <c r="J10" s="97"/>
      <c r="K10" s="56"/>
      <c r="L10" s="45"/>
      <c r="M10" s="45"/>
      <c r="N10" s="45"/>
      <c r="O10" s="45"/>
      <c r="P10" s="94"/>
      <c r="Q10" s="66"/>
    </row>
    <row r="11" spans="1:17" x14ac:dyDescent="0.3">
      <c r="A11" s="98"/>
      <c r="B11" s="23" t="s">
        <v>1</v>
      </c>
      <c r="C11" s="23">
        <v>5.11E-2</v>
      </c>
      <c r="D11" s="23">
        <v>462.01</v>
      </c>
      <c r="E11" s="23">
        <v>21.49</v>
      </c>
      <c r="F11" s="23">
        <v>17.14</v>
      </c>
      <c r="G11" s="31">
        <v>853.78</v>
      </c>
      <c r="H11" s="74"/>
      <c r="I11" s="15"/>
      <c r="J11" s="98"/>
      <c r="K11" s="58"/>
      <c r="L11" s="46"/>
      <c r="M11" s="46"/>
      <c r="N11" s="46"/>
      <c r="O11" s="46"/>
      <c r="P11" s="101"/>
      <c r="Q11" s="67"/>
    </row>
    <row r="12" spans="1:17" ht="14.4" customHeight="1" x14ac:dyDescent="0.3">
      <c r="A12" s="97" t="s">
        <v>24</v>
      </c>
      <c r="B12" s="22" t="s">
        <v>4</v>
      </c>
      <c r="C12" s="22">
        <v>4.6100000000000002E-2</v>
      </c>
      <c r="D12" s="22">
        <v>456</v>
      </c>
      <c r="E12" s="22">
        <v>21.35</v>
      </c>
      <c r="F12" s="22">
        <v>17</v>
      </c>
      <c r="G12" s="35">
        <v>865.41</v>
      </c>
      <c r="H12" s="73" t="s">
        <v>67</v>
      </c>
      <c r="I12" s="28"/>
      <c r="J12" s="96" t="str">
        <f>A12</f>
        <v>Linear Regression ElasticNet</v>
      </c>
      <c r="K12" s="57" t="s">
        <v>52</v>
      </c>
      <c r="L12" s="44">
        <f>IF(C14="","",(C13-C14))</f>
        <v>-1.1200000000000002E-2</v>
      </c>
      <c r="M12" s="44">
        <f>IF(D14="","",(D13-D14))</f>
        <v>-3.5699999999999932</v>
      </c>
      <c r="N12" s="44">
        <f>IF(E14="","",(E13-E14))</f>
        <v>-7.9999999999998295E-2</v>
      </c>
      <c r="O12" s="44">
        <f>IF(F14="","",(F13-F14))</f>
        <v>-0.10000000000000142</v>
      </c>
      <c r="P12" s="93">
        <f>IF(G14="","",(G13-G14))</f>
        <v>14.559999999999945</v>
      </c>
      <c r="Q12" s="71" t="str">
        <f>H12</f>
        <v>alpha = 0.001
max_iter = 1000
l1_ratio = 0.5</v>
      </c>
    </row>
    <row r="13" spans="1:17" x14ac:dyDescent="0.3">
      <c r="A13" s="97"/>
      <c r="B13" s="22" t="s">
        <v>2</v>
      </c>
      <c r="C13" s="22">
        <v>3.9899999999999998E-2</v>
      </c>
      <c r="D13" s="22">
        <v>458.44</v>
      </c>
      <c r="E13" s="22">
        <v>21.41</v>
      </c>
      <c r="F13" s="22">
        <v>17.04</v>
      </c>
      <c r="G13" s="35">
        <v>868.27</v>
      </c>
      <c r="H13" s="74"/>
      <c r="I13" s="3"/>
      <c r="J13" s="97"/>
      <c r="K13" s="56"/>
      <c r="L13" s="45"/>
      <c r="M13" s="45"/>
      <c r="N13" s="45"/>
      <c r="O13" s="45"/>
      <c r="P13" s="94"/>
      <c r="Q13" s="66"/>
    </row>
    <row r="14" spans="1:17" x14ac:dyDescent="0.3">
      <c r="A14" s="99"/>
      <c r="B14" s="36" t="s">
        <v>1</v>
      </c>
      <c r="C14" s="36">
        <v>5.11E-2</v>
      </c>
      <c r="D14" s="36">
        <v>462.01</v>
      </c>
      <c r="E14" s="36">
        <v>21.49</v>
      </c>
      <c r="F14" s="36">
        <v>17.14</v>
      </c>
      <c r="G14" s="37">
        <v>853.71</v>
      </c>
      <c r="H14" s="74"/>
      <c r="I14" s="3"/>
      <c r="J14" s="99"/>
      <c r="K14" s="59"/>
      <c r="L14" s="46"/>
      <c r="M14" s="46"/>
      <c r="N14" s="46"/>
      <c r="O14" s="46"/>
      <c r="P14" s="101"/>
      <c r="Q14" s="67"/>
    </row>
    <row r="15" spans="1:17" x14ac:dyDescent="0.3">
      <c r="A15" s="97" t="s">
        <v>21</v>
      </c>
      <c r="B15" s="22" t="s">
        <v>4</v>
      </c>
      <c r="C15" s="22">
        <v>9.4200000000000006E-2</v>
      </c>
      <c r="D15" s="22">
        <v>432.99</v>
      </c>
      <c r="E15" s="22">
        <v>20.81</v>
      </c>
      <c r="F15" s="22">
        <v>16.46</v>
      </c>
      <c r="G15" s="35">
        <v>835.05</v>
      </c>
      <c r="H15" s="73" t="s">
        <v>65</v>
      </c>
      <c r="I15" s="28"/>
      <c r="J15" s="96" t="str">
        <f>A15</f>
        <v>Polinomial Regressor</v>
      </c>
      <c r="K15" s="57" t="s">
        <v>52</v>
      </c>
      <c r="L15" s="44">
        <f>IF(C17="","",(C16-C17))</f>
        <v>-2.4399999999999991E-2</v>
      </c>
      <c r="M15" s="44">
        <f>IF(D17="","",(D16-D17))</f>
        <v>3.1299999999999955</v>
      </c>
      <c r="N15" s="44">
        <f>IF(E17="","",(E16-E17))</f>
        <v>7.0000000000000284E-2</v>
      </c>
      <c r="O15" s="44">
        <f>IF(F17="","",(F16-F17))</f>
        <v>1.0000000000001563E-2</v>
      </c>
      <c r="P15" s="93">
        <f>IF(G17="","",(G16-G17))</f>
        <v>27.089999999999918</v>
      </c>
      <c r="Q15" s="71" t="str">
        <f>H15</f>
        <v>degree = 2</v>
      </c>
    </row>
    <row r="16" spans="1:17" x14ac:dyDescent="0.3">
      <c r="A16" s="97"/>
      <c r="B16" s="22" t="s">
        <v>2</v>
      </c>
      <c r="C16" s="22">
        <v>6.6500000000000004E-2</v>
      </c>
      <c r="D16" s="22">
        <v>445.77</v>
      </c>
      <c r="E16" s="22">
        <v>21.11</v>
      </c>
      <c r="F16" s="22">
        <v>16.75</v>
      </c>
      <c r="G16" s="35">
        <v>854.79</v>
      </c>
      <c r="H16" s="74"/>
      <c r="I16" s="3"/>
      <c r="J16" s="97"/>
      <c r="K16" s="56"/>
      <c r="L16" s="45"/>
      <c r="M16" s="45"/>
      <c r="N16" s="45"/>
      <c r="O16" s="45"/>
      <c r="P16" s="94"/>
      <c r="Q16" s="66"/>
    </row>
    <row r="17" spans="1:17" x14ac:dyDescent="0.3">
      <c r="A17" s="99"/>
      <c r="B17" s="36" t="s">
        <v>1</v>
      </c>
      <c r="C17" s="36">
        <v>9.0899999999999995E-2</v>
      </c>
      <c r="D17" s="36">
        <v>442.64</v>
      </c>
      <c r="E17" s="36">
        <v>21.04</v>
      </c>
      <c r="F17" s="36">
        <v>16.739999999999998</v>
      </c>
      <c r="G17" s="37">
        <v>827.7</v>
      </c>
      <c r="H17" s="74"/>
      <c r="I17" s="3"/>
      <c r="J17" s="99"/>
      <c r="K17" s="59"/>
      <c r="L17" s="46"/>
      <c r="M17" s="46"/>
      <c r="N17" s="46"/>
      <c r="O17" s="46"/>
      <c r="P17" s="101"/>
      <c r="Q17" s="67"/>
    </row>
    <row r="18" spans="1:17" x14ac:dyDescent="0.3">
      <c r="A18" s="97" t="s">
        <v>25</v>
      </c>
      <c r="B18" s="22" t="s">
        <v>4</v>
      </c>
      <c r="C18" s="22">
        <v>8.6800000000000002E-2</v>
      </c>
      <c r="D18" s="22">
        <v>436.51</v>
      </c>
      <c r="E18" s="22">
        <v>20.89</v>
      </c>
      <c r="F18" s="22">
        <v>16.54</v>
      </c>
      <c r="G18" s="35">
        <v>843.27</v>
      </c>
      <c r="H18" s="73" t="s">
        <v>70</v>
      </c>
      <c r="I18" s="28"/>
      <c r="J18" s="96" t="str">
        <f>A18</f>
        <v>Polinomial Regression Lasso</v>
      </c>
      <c r="K18" s="57" t="s">
        <v>52</v>
      </c>
      <c r="L18" s="44">
        <f>IF(C20="","",(C19-C20))</f>
        <v>-1.6899999999999998E-2</v>
      </c>
      <c r="M18" s="44">
        <f>IF(D20="","",(D19-D20))</f>
        <v>-0.51999999999998181</v>
      </c>
      <c r="N18" s="44">
        <f>IF(E20="","",(E19-E20))</f>
        <v>-1.0000000000001563E-2</v>
      </c>
      <c r="O18" s="44">
        <f>IF(F20="","",(F19-F20))</f>
        <v>-5.9999999999998721E-2</v>
      </c>
      <c r="P18" s="93">
        <f>IF(G20="","",(G19-G20))</f>
        <v>24.889999999999986</v>
      </c>
      <c r="Q18" s="71" t="str">
        <f>H18</f>
        <v>degree = 2
alpha = 0.01
max_iter = 10000</v>
      </c>
    </row>
    <row r="19" spans="1:17" x14ac:dyDescent="0.3">
      <c r="A19" s="97"/>
      <c r="B19" s="22" t="s">
        <v>2</v>
      </c>
      <c r="C19" s="22">
        <v>6.8500000000000005E-2</v>
      </c>
      <c r="D19" s="22">
        <v>444.81</v>
      </c>
      <c r="E19" s="22">
        <v>21.09</v>
      </c>
      <c r="F19" s="22">
        <v>16.73</v>
      </c>
      <c r="G19" s="35">
        <v>859.1</v>
      </c>
      <c r="H19" s="74"/>
      <c r="I19" s="3"/>
      <c r="J19" s="97"/>
      <c r="K19" s="56"/>
      <c r="L19" s="45"/>
      <c r="M19" s="45"/>
      <c r="N19" s="45"/>
      <c r="O19" s="45"/>
      <c r="P19" s="94"/>
      <c r="Q19" s="66"/>
    </row>
    <row r="20" spans="1:17" x14ac:dyDescent="0.3">
      <c r="A20" s="99"/>
      <c r="B20" s="36" t="s">
        <v>1</v>
      </c>
      <c r="C20" s="36">
        <v>8.5400000000000004E-2</v>
      </c>
      <c r="D20" s="36">
        <v>445.33</v>
      </c>
      <c r="E20" s="36">
        <v>21.1</v>
      </c>
      <c r="F20" s="36">
        <v>16.79</v>
      </c>
      <c r="G20" s="37">
        <v>834.21</v>
      </c>
      <c r="H20" s="74"/>
      <c r="I20" s="3"/>
      <c r="J20" s="99"/>
      <c r="K20" s="59"/>
      <c r="L20" s="46"/>
      <c r="M20" s="46"/>
      <c r="N20" s="46"/>
      <c r="O20" s="46"/>
      <c r="P20" s="101"/>
      <c r="Q20" s="67"/>
    </row>
    <row r="21" spans="1:17" x14ac:dyDescent="0.3">
      <c r="A21" s="97" t="s">
        <v>26</v>
      </c>
      <c r="B21" s="22" t="s">
        <v>4</v>
      </c>
      <c r="C21" s="22">
        <v>9.3200000000000005E-2</v>
      </c>
      <c r="D21" s="22">
        <v>433.48</v>
      </c>
      <c r="E21" s="22">
        <v>20.82</v>
      </c>
      <c r="F21" s="22">
        <v>16.47</v>
      </c>
      <c r="G21" s="35">
        <v>837.27</v>
      </c>
      <c r="H21" s="73" t="s">
        <v>71</v>
      </c>
      <c r="I21" s="28"/>
      <c r="J21" s="96" t="str">
        <f>A21</f>
        <v>Polinomial Regression Ridge</v>
      </c>
      <c r="K21" s="57" t="s">
        <v>52</v>
      </c>
      <c r="L21" s="44">
        <f>IF(C23="","",(C22-C23))</f>
        <v>-1.7700000000000007E-2</v>
      </c>
      <c r="M21" s="44">
        <f>IF(D23="","",(D22-D23))</f>
        <v>-0.14999999999997726</v>
      </c>
      <c r="N21" s="44">
        <f>IF(E23="","",(E22-E23))</f>
        <v>0</v>
      </c>
      <c r="O21" s="44">
        <f>IF(F23="","",(F22-F23))</f>
        <v>-5.0000000000000711E-2</v>
      </c>
      <c r="P21" s="93">
        <f>IF(G23="","",(G22-G23))</f>
        <v>22.689999999999941</v>
      </c>
      <c r="Q21" s="71" t="str">
        <f>H21</f>
        <v>degree = 2
alpha = 1.0
max_iter = 10000</v>
      </c>
    </row>
    <row r="22" spans="1:17" x14ac:dyDescent="0.3">
      <c r="A22" s="97"/>
      <c r="B22" s="22" t="s">
        <v>2</v>
      </c>
      <c r="C22" s="22">
        <v>6.7699999999999996E-2</v>
      </c>
      <c r="D22" s="22">
        <v>445.18</v>
      </c>
      <c r="E22" s="22">
        <v>21.1</v>
      </c>
      <c r="F22" s="22">
        <v>16.739999999999998</v>
      </c>
      <c r="G22" s="35">
        <v>856.9</v>
      </c>
      <c r="H22" s="74"/>
      <c r="I22" s="3"/>
      <c r="J22" s="97"/>
      <c r="K22" s="56"/>
      <c r="L22" s="45"/>
      <c r="M22" s="45"/>
      <c r="N22" s="45"/>
      <c r="O22" s="45"/>
      <c r="P22" s="94"/>
      <c r="Q22" s="66"/>
    </row>
    <row r="23" spans="1:17" x14ac:dyDescent="0.3">
      <c r="A23" s="99"/>
      <c r="B23" s="36" t="s">
        <v>1</v>
      </c>
      <c r="C23" s="36">
        <v>8.5400000000000004E-2</v>
      </c>
      <c r="D23" s="36">
        <v>445.33</v>
      </c>
      <c r="E23" s="36">
        <v>21.1</v>
      </c>
      <c r="F23" s="36">
        <v>16.79</v>
      </c>
      <c r="G23" s="37">
        <v>834.21</v>
      </c>
      <c r="H23" s="74"/>
      <c r="I23" s="3"/>
      <c r="J23" s="99"/>
      <c r="K23" s="59"/>
      <c r="L23" s="46"/>
      <c r="M23" s="46"/>
      <c r="N23" s="46"/>
      <c r="O23" s="46"/>
      <c r="P23" s="101"/>
      <c r="Q23" s="67"/>
    </row>
    <row r="24" spans="1:17" x14ac:dyDescent="0.3">
      <c r="A24" s="97" t="s">
        <v>27</v>
      </c>
      <c r="B24" s="22" t="s">
        <v>4</v>
      </c>
      <c r="C24" s="22">
        <v>9.1999999999999998E-2</v>
      </c>
      <c r="D24" s="22">
        <v>434.04</v>
      </c>
      <c r="E24" s="22">
        <v>20.83</v>
      </c>
      <c r="F24" s="22">
        <v>16.48</v>
      </c>
      <c r="G24" s="35">
        <v>838.91</v>
      </c>
      <c r="H24" s="73" t="s">
        <v>72</v>
      </c>
      <c r="I24" s="28"/>
      <c r="J24" s="96" t="str">
        <f>A24</f>
        <v>Polinomial Regression ElasticNet</v>
      </c>
      <c r="K24" s="57" t="s">
        <v>52</v>
      </c>
      <c r="L24" s="44">
        <f>IF(C26="","",(C25-C26))</f>
        <v>-2.0699999999999996E-2</v>
      </c>
      <c r="M24" s="44">
        <f>IF(D26="","",(D25-D26))</f>
        <v>1.3500000000000227</v>
      </c>
      <c r="N24" s="44">
        <f>IF(E26="","",(E25-E26))</f>
        <v>3.0000000000001137E-2</v>
      </c>
      <c r="O24" s="44">
        <f>IF(F26="","",(F25-F26))</f>
        <v>-2.0000000000003126E-2</v>
      </c>
      <c r="P24" s="93">
        <f>IF(G26="","",(G25-G26))</f>
        <v>24.720000000000027</v>
      </c>
      <c r="Q24" s="71" t="str">
        <f>H24</f>
        <v>alpha = 0.001
max_iter = 2000
l1_ratio = 0.8</v>
      </c>
    </row>
    <row r="25" spans="1:17" x14ac:dyDescent="0.3">
      <c r="A25" s="97"/>
      <c r="B25" s="22" t="s">
        <v>2</v>
      </c>
      <c r="C25" s="22">
        <v>6.7900000000000002E-2</v>
      </c>
      <c r="D25" s="22">
        <v>445.11</v>
      </c>
      <c r="E25" s="22">
        <v>21.1</v>
      </c>
      <c r="F25" s="22">
        <v>16.739999999999998</v>
      </c>
      <c r="G25" s="35">
        <v>857.83</v>
      </c>
      <c r="H25" s="74"/>
      <c r="I25" s="3"/>
      <c r="J25" s="97"/>
      <c r="K25" s="56"/>
      <c r="L25" s="45"/>
      <c r="M25" s="45"/>
      <c r="N25" s="45"/>
      <c r="O25" s="45"/>
      <c r="P25" s="94"/>
      <c r="Q25" s="66"/>
    </row>
    <row r="26" spans="1:17" x14ac:dyDescent="0.3">
      <c r="A26" s="99"/>
      <c r="B26" s="36" t="s">
        <v>1</v>
      </c>
      <c r="C26" s="36">
        <v>8.8599999999999998E-2</v>
      </c>
      <c r="D26" s="36">
        <v>443.76</v>
      </c>
      <c r="E26" s="36">
        <v>21.07</v>
      </c>
      <c r="F26" s="36">
        <v>16.760000000000002</v>
      </c>
      <c r="G26" s="37">
        <v>833.11</v>
      </c>
      <c r="H26" s="74"/>
      <c r="I26" s="3"/>
      <c r="J26" s="99"/>
      <c r="K26" s="59"/>
      <c r="L26" s="46"/>
      <c r="M26" s="46"/>
      <c r="N26" s="46"/>
      <c r="O26" s="46"/>
      <c r="P26" s="101"/>
      <c r="Q26" s="67"/>
    </row>
    <row r="27" spans="1:17" x14ac:dyDescent="0.3">
      <c r="A27" s="97" t="s">
        <v>19</v>
      </c>
      <c r="B27" s="22" t="s">
        <v>4</v>
      </c>
      <c r="C27" s="22">
        <v>0.1135</v>
      </c>
      <c r="D27" s="22">
        <v>423.75</v>
      </c>
      <c r="E27" s="22">
        <v>20.59</v>
      </c>
      <c r="F27" s="22">
        <v>16.37</v>
      </c>
      <c r="G27" s="35">
        <v>786.95</v>
      </c>
      <c r="H27" s="73" t="s">
        <v>68</v>
      </c>
      <c r="I27" s="28"/>
      <c r="J27" s="96" t="str">
        <f>A27</f>
        <v>Decision Tree Regression</v>
      </c>
      <c r="K27" s="57" t="s">
        <v>52</v>
      </c>
      <c r="L27" s="44">
        <f>IF(C29="","",(C28-C29))</f>
        <v>-2.5999999999999995E-2</v>
      </c>
      <c r="M27" s="44">
        <f>IF(D29="","",(D28-D29))</f>
        <v>3.8600000000000136</v>
      </c>
      <c r="N27" s="44">
        <f>IF(E29="","",(E28-E29))</f>
        <v>9.9999999999997868E-2</v>
      </c>
      <c r="O27" s="44">
        <f>IF(F29="","",(F28-F29))</f>
        <v>1.0000000000001563E-2</v>
      </c>
      <c r="P27" s="93">
        <f>IF(G29="","",(G28-G29))</f>
        <v>50.960000000000036</v>
      </c>
      <c r="Q27" s="71" t="str">
        <f>H27</f>
        <v>max_depth = 5</v>
      </c>
    </row>
    <row r="28" spans="1:17" x14ac:dyDescent="0.3">
      <c r="A28" s="97"/>
      <c r="B28" s="22" t="s">
        <v>2</v>
      </c>
      <c r="C28" s="22">
        <v>6.3600000000000004E-2</v>
      </c>
      <c r="D28" s="22">
        <v>447.16</v>
      </c>
      <c r="E28" s="22">
        <v>21.15</v>
      </c>
      <c r="F28" s="22">
        <v>16.84</v>
      </c>
      <c r="G28" s="35">
        <v>839.58</v>
      </c>
      <c r="H28" s="74"/>
      <c r="I28" s="3"/>
      <c r="J28" s="97"/>
      <c r="K28" s="56"/>
      <c r="L28" s="45"/>
      <c r="M28" s="45"/>
      <c r="N28" s="45"/>
      <c r="O28" s="45"/>
      <c r="P28" s="94"/>
      <c r="Q28" s="66"/>
    </row>
    <row r="29" spans="1:17" x14ac:dyDescent="0.3">
      <c r="A29" s="99"/>
      <c r="B29" s="36" t="s">
        <v>1</v>
      </c>
      <c r="C29" s="36">
        <v>8.9599999999999999E-2</v>
      </c>
      <c r="D29" s="36">
        <v>443.3</v>
      </c>
      <c r="E29" s="36">
        <v>21.05</v>
      </c>
      <c r="F29" s="36">
        <v>16.829999999999998</v>
      </c>
      <c r="G29" s="37">
        <v>788.62</v>
      </c>
      <c r="H29" s="74"/>
      <c r="I29" s="3"/>
      <c r="J29" s="99"/>
      <c r="K29" s="59"/>
      <c r="L29" s="46"/>
      <c r="M29" s="46"/>
      <c r="N29" s="46"/>
      <c r="O29" s="46"/>
      <c r="P29" s="101"/>
      <c r="Q29" s="67"/>
    </row>
    <row r="30" spans="1:17" x14ac:dyDescent="0.3">
      <c r="A30" s="97" t="s">
        <v>20</v>
      </c>
      <c r="B30" s="22" t="s">
        <v>4</v>
      </c>
      <c r="C30" s="22">
        <v>0.46810000000000002</v>
      </c>
      <c r="D30" s="22">
        <v>254.24</v>
      </c>
      <c r="E30" s="22">
        <v>15.94</v>
      </c>
      <c r="F30" s="22">
        <v>12.68</v>
      </c>
      <c r="G30" s="35">
        <v>572.57000000000005</v>
      </c>
      <c r="H30" s="73" t="s">
        <v>69</v>
      </c>
      <c r="I30" s="28"/>
      <c r="J30" s="96" t="str">
        <f>A30</f>
        <v>Random Forest Regression</v>
      </c>
      <c r="K30" s="57" t="s">
        <v>52</v>
      </c>
      <c r="L30" s="44">
        <f>IF(C32="","",(C31-C32))</f>
        <v>-3.2900000000000013E-2</v>
      </c>
      <c r="M30" s="44">
        <f>IF(D32="","",(D31-D32))</f>
        <v>8.589999999999975</v>
      </c>
      <c r="N30" s="44">
        <f>IF(E32="","",(E31-E32))</f>
        <v>0.21999999999999886</v>
      </c>
      <c r="O30" s="44">
        <f>IF(F32="","",(F31-F32))</f>
        <v>1.9999999999999574E-2</v>
      </c>
      <c r="P30" s="93">
        <f>IF(G32="","",(G31-G32))</f>
        <v>72.13</v>
      </c>
      <c r="Q30" s="71" t="str">
        <f>H30</f>
        <v>n_estimatores = 300
max_depth = 10</v>
      </c>
    </row>
    <row r="31" spans="1:17" x14ac:dyDescent="0.3">
      <c r="A31" s="97"/>
      <c r="B31" s="22" t="s">
        <v>2</v>
      </c>
      <c r="C31" s="22">
        <v>0.21329999999999999</v>
      </c>
      <c r="D31" s="22">
        <v>375.64</v>
      </c>
      <c r="E31" s="22">
        <v>19.38</v>
      </c>
      <c r="F31" s="22">
        <v>15.28</v>
      </c>
      <c r="G31" s="35">
        <v>787.52</v>
      </c>
      <c r="H31" s="74"/>
      <c r="I31" s="3"/>
      <c r="J31" s="97"/>
      <c r="K31" s="56"/>
      <c r="L31" s="45"/>
      <c r="M31" s="45"/>
      <c r="N31" s="45"/>
      <c r="O31" s="45"/>
      <c r="P31" s="94"/>
      <c r="Q31" s="66"/>
    </row>
    <row r="32" spans="1:17" x14ac:dyDescent="0.3">
      <c r="A32" s="99"/>
      <c r="B32" s="36" t="s">
        <v>1</v>
      </c>
      <c r="C32" s="36">
        <v>0.2462</v>
      </c>
      <c r="D32" s="36">
        <v>367.05</v>
      </c>
      <c r="E32" s="36">
        <v>19.16</v>
      </c>
      <c r="F32" s="36">
        <v>15.26</v>
      </c>
      <c r="G32" s="37">
        <v>715.39</v>
      </c>
      <c r="H32" s="74"/>
      <c r="I32" s="3"/>
      <c r="J32" s="99"/>
      <c r="K32" s="59"/>
      <c r="L32" s="46"/>
      <c r="M32" s="46"/>
      <c r="N32" s="46"/>
      <c r="O32" s="46"/>
      <c r="P32" s="101"/>
      <c r="Q32" s="67"/>
    </row>
    <row r="33" spans="1:17" x14ac:dyDescent="0.3">
      <c r="A33" s="97" t="s">
        <v>74</v>
      </c>
      <c r="B33" s="22" t="s">
        <v>4</v>
      </c>
      <c r="C33" s="22">
        <v>0.95589999999999997</v>
      </c>
      <c r="D33" s="22">
        <v>21.08</v>
      </c>
      <c r="E33" s="22">
        <v>4.59</v>
      </c>
      <c r="F33" s="22">
        <v>2.96</v>
      </c>
      <c r="G33" s="90">
        <v>116.65</v>
      </c>
      <c r="H33" s="73" t="s">
        <v>77</v>
      </c>
      <c r="I33" s="28"/>
      <c r="J33" s="96" t="str">
        <f>A33</f>
        <v>XGBoost</v>
      </c>
      <c r="K33" s="57" t="s">
        <v>52</v>
      </c>
      <c r="L33" s="44">
        <f>IF(C35="","",(C34-C35))</f>
        <v>-8.0199999999999994E-2</v>
      </c>
      <c r="M33" s="44">
        <f>IF(D35="","",(D34-D35))</f>
        <v>32.389999999999986</v>
      </c>
      <c r="N33" s="44">
        <f>IF(E35="","",(E34-E35))</f>
        <v>0.90000000000000213</v>
      </c>
      <c r="O33" s="44">
        <f>IF(F35="","",(F34-F35))</f>
        <v>0.49000000000000021</v>
      </c>
      <c r="P33" s="93">
        <f>IF(G35="","",(G34-G35))</f>
        <v>56.129999999999995</v>
      </c>
      <c r="Q33" s="71" t="str">
        <f>H33</f>
        <v>n_estimatores = 300
max_depth = 10
learning_rate = 0.1</v>
      </c>
    </row>
    <row r="34" spans="1:17" x14ac:dyDescent="0.3">
      <c r="A34" s="97"/>
      <c r="B34" s="22" t="s">
        <v>2</v>
      </c>
      <c r="C34" s="22">
        <v>0.28760000000000002</v>
      </c>
      <c r="D34" s="22">
        <v>340.2</v>
      </c>
      <c r="E34" s="22">
        <v>18.440000000000001</v>
      </c>
      <c r="F34" s="22">
        <v>13.17</v>
      </c>
      <c r="G34" s="35">
        <v>673.04</v>
      </c>
      <c r="H34" s="74"/>
      <c r="I34" s="3"/>
      <c r="J34" s="97"/>
      <c r="K34" s="56"/>
      <c r="L34" s="45"/>
      <c r="M34" s="45"/>
      <c r="N34" s="45"/>
      <c r="O34" s="45"/>
      <c r="P34" s="94"/>
      <c r="Q34" s="66"/>
    </row>
    <row r="35" spans="1:17" x14ac:dyDescent="0.3">
      <c r="A35" s="99"/>
      <c r="B35" s="36" t="s">
        <v>1</v>
      </c>
      <c r="C35" s="36">
        <v>0.36780000000000002</v>
      </c>
      <c r="D35" s="36">
        <v>307.81</v>
      </c>
      <c r="E35" s="36">
        <v>17.54</v>
      </c>
      <c r="F35" s="36">
        <v>12.68</v>
      </c>
      <c r="G35" s="37">
        <v>616.91</v>
      </c>
      <c r="H35" s="74"/>
      <c r="I35" s="3"/>
      <c r="J35" s="99"/>
      <c r="K35" s="59"/>
      <c r="L35" s="46"/>
      <c r="M35" s="46"/>
      <c r="N35" s="46"/>
      <c r="O35" s="46"/>
      <c r="P35" s="101"/>
      <c r="Q35" s="67"/>
    </row>
    <row r="36" spans="1:17" x14ac:dyDescent="0.3">
      <c r="A36" s="97" t="s">
        <v>75</v>
      </c>
      <c r="B36" s="22" t="s">
        <v>4</v>
      </c>
      <c r="C36" s="22">
        <v>0.95269999999999999</v>
      </c>
      <c r="D36" s="22">
        <v>22.59</v>
      </c>
      <c r="E36" s="22">
        <v>4.75</v>
      </c>
      <c r="F36" s="22">
        <v>3.11</v>
      </c>
      <c r="G36" s="90">
        <v>135</v>
      </c>
      <c r="H36" s="73" t="s">
        <v>76</v>
      </c>
      <c r="I36" s="28"/>
      <c r="J36" s="96" t="str">
        <f>A36</f>
        <v>LightGBM</v>
      </c>
      <c r="K36" s="57" t="s">
        <v>52</v>
      </c>
      <c r="L36" s="44">
        <f>IF(C38="","",(C37-C38))</f>
        <v>-6.3900000000000012E-2</v>
      </c>
      <c r="M36" s="44">
        <f>IF(D38="","",(D37-D38))</f>
        <v>24.490000000000009</v>
      </c>
      <c r="N36" s="44">
        <f>IF(E38="","",(E37-E38))</f>
        <v>0.67999999999999972</v>
      </c>
      <c r="O36" s="44">
        <f>IF(F38="","",(F37-F38))</f>
        <v>0.36999999999999922</v>
      </c>
      <c r="P36" s="93">
        <f>IF(G38="","",(G37-G38))</f>
        <v>53.040000000000077</v>
      </c>
      <c r="Q36" s="71" t="str">
        <f>H36</f>
        <v>n_estimatores = 500
Num_Leaves = 63
learning_rate = 0.1</v>
      </c>
    </row>
    <row r="37" spans="1:17" x14ac:dyDescent="0.3">
      <c r="A37" s="97"/>
      <c r="B37" s="22" t="s">
        <v>2</v>
      </c>
      <c r="C37" s="22">
        <v>0.29399999999999998</v>
      </c>
      <c r="D37" s="22">
        <v>337.12</v>
      </c>
      <c r="E37" s="22">
        <v>18.36</v>
      </c>
      <c r="F37" s="22">
        <v>13.12</v>
      </c>
      <c r="G37" s="35">
        <v>685.47</v>
      </c>
      <c r="H37" s="74"/>
      <c r="I37" s="3"/>
      <c r="J37" s="97"/>
      <c r="K37" s="56"/>
      <c r="L37" s="45"/>
      <c r="M37" s="45"/>
      <c r="N37" s="45"/>
      <c r="O37" s="45"/>
      <c r="P37" s="94"/>
      <c r="Q37" s="66"/>
    </row>
    <row r="38" spans="1:17" x14ac:dyDescent="0.3">
      <c r="A38" s="99"/>
      <c r="B38" s="36" t="s">
        <v>1</v>
      </c>
      <c r="C38" s="36">
        <v>0.3579</v>
      </c>
      <c r="D38" s="36">
        <v>312.63</v>
      </c>
      <c r="E38" s="36">
        <v>17.68</v>
      </c>
      <c r="F38" s="36">
        <v>12.75</v>
      </c>
      <c r="G38" s="37">
        <v>632.42999999999995</v>
      </c>
      <c r="H38" s="74"/>
      <c r="I38" s="3"/>
      <c r="J38" s="99"/>
      <c r="K38" s="59"/>
      <c r="L38" s="46"/>
      <c r="M38" s="46"/>
      <c r="N38" s="46"/>
      <c r="O38" s="46"/>
      <c r="P38" s="101"/>
      <c r="Q38" s="67"/>
    </row>
    <row r="39" spans="1:17" x14ac:dyDescent="0.3">
      <c r="J39" s="43" t="s">
        <v>64</v>
      </c>
      <c r="K39" s="43"/>
      <c r="L39" s="43"/>
      <c r="M39" s="43"/>
      <c r="N39" s="43"/>
      <c r="O39" s="43"/>
      <c r="P39" s="43"/>
      <c r="Q39" s="43"/>
    </row>
    <row r="40" spans="1:17" x14ac:dyDescent="0.3">
      <c r="J40" s="43"/>
      <c r="K40" s="43"/>
      <c r="L40" s="43"/>
      <c r="M40" s="43"/>
      <c r="N40" s="43"/>
      <c r="O40" s="43"/>
      <c r="P40" s="43"/>
      <c r="Q40" s="43"/>
    </row>
    <row r="41" spans="1:17" x14ac:dyDescent="0.3">
      <c r="J41" s="43"/>
      <c r="K41" s="43"/>
      <c r="L41" s="43"/>
      <c r="M41" s="43"/>
      <c r="N41" s="43"/>
      <c r="O41" s="43"/>
      <c r="P41" s="43"/>
      <c r="Q41" s="43"/>
    </row>
    <row r="42" spans="1:17" x14ac:dyDescent="0.3">
      <c r="J42" s="43"/>
      <c r="K42" s="43"/>
      <c r="L42" s="43"/>
      <c r="M42" s="43"/>
      <c r="N42" s="43"/>
      <c r="O42" s="43"/>
      <c r="P42" s="43"/>
      <c r="Q42" s="43"/>
    </row>
    <row r="43" spans="1:17" x14ac:dyDescent="0.3">
      <c r="J43" s="43"/>
      <c r="K43" s="43"/>
      <c r="L43" s="43"/>
      <c r="M43" s="43"/>
      <c r="N43" s="43"/>
      <c r="O43" s="43"/>
      <c r="P43" s="43"/>
      <c r="Q43" s="43"/>
    </row>
    <row r="44" spans="1:17" x14ac:dyDescent="0.3">
      <c r="J44" s="43"/>
      <c r="K44" s="43"/>
      <c r="L44" s="43"/>
      <c r="M44" s="43"/>
      <c r="N44" s="43"/>
      <c r="O44" s="43"/>
      <c r="P44" s="43"/>
      <c r="Q44" s="43"/>
    </row>
    <row r="45" spans="1:17" x14ac:dyDescent="0.3">
      <c r="J45" s="43"/>
      <c r="K45" s="43"/>
      <c r="L45" s="43"/>
      <c r="M45" s="43"/>
      <c r="N45" s="43"/>
      <c r="O45" s="43"/>
      <c r="P45" s="43"/>
      <c r="Q45" s="43"/>
    </row>
    <row r="46" spans="1:17" x14ac:dyDescent="0.3">
      <c r="J46" s="43"/>
      <c r="K46" s="43"/>
      <c r="L46" s="43"/>
      <c r="M46" s="43"/>
      <c r="N46" s="43"/>
      <c r="O46" s="43"/>
      <c r="P46" s="43"/>
      <c r="Q46" s="43"/>
    </row>
    <row r="47" spans="1:17" x14ac:dyDescent="0.3">
      <c r="J47" s="43"/>
      <c r="K47" s="43"/>
      <c r="L47" s="43"/>
      <c r="M47" s="43"/>
      <c r="N47" s="43"/>
      <c r="O47" s="43"/>
      <c r="P47" s="43"/>
      <c r="Q47" s="43"/>
    </row>
    <row r="48" spans="1:17" x14ac:dyDescent="0.3">
      <c r="J48" s="43"/>
      <c r="K48" s="43"/>
      <c r="L48" s="43"/>
      <c r="M48" s="43"/>
      <c r="N48" s="43"/>
      <c r="O48" s="43"/>
      <c r="P48" s="43"/>
      <c r="Q48" s="43"/>
    </row>
  </sheetData>
  <mergeCells count="123">
    <mergeCell ref="L36:L38"/>
    <mergeCell ref="M36:M38"/>
    <mergeCell ref="N36:N38"/>
    <mergeCell ref="O36:O38"/>
    <mergeCell ref="Q36:Q38"/>
    <mergeCell ref="P33:P35"/>
    <mergeCell ref="P36:P38"/>
    <mergeCell ref="M33:M35"/>
    <mergeCell ref="N33:N35"/>
    <mergeCell ref="O33:O35"/>
    <mergeCell ref="Q33:Q35"/>
    <mergeCell ref="P30:P32"/>
    <mergeCell ref="A36:A38"/>
    <mergeCell ref="H36:H38"/>
    <mergeCell ref="J36:J38"/>
    <mergeCell ref="K36:K38"/>
    <mergeCell ref="A33:A35"/>
    <mergeCell ref="H33:H35"/>
    <mergeCell ref="J33:J35"/>
    <mergeCell ref="K33:K35"/>
    <mergeCell ref="L33:L35"/>
    <mergeCell ref="J39:Q48"/>
    <mergeCell ref="P6:P8"/>
    <mergeCell ref="P9:P11"/>
    <mergeCell ref="P12:P14"/>
    <mergeCell ref="P27:P29"/>
    <mergeCell ref="P15:P17"/>
    <mergeCell ref="P18:P20"/>
    <mergeCell ref="P21:P23"/>
    <mergeCell ref="P24:P26"/>
    <mergeCell ref="M30:M32"/>
    <mergeCell ref="N30:N32"/>
    <mergeCell ref="O30:O32"/>
    <mergeCell ref="Q30:Q32"/>
    <mergeCell ref="P3:P5"/>
    <mergeCell ref="M27:M29"/>
    <mergeCell ref="N27:N29"/>
    <mergeCell ref="O27:O29"/>
    <mergeCell ref="Q27:Q29"/>
    <mergeCell ref="A30:A32"/>
    <mergeCell ref="H30:H32"/>
    <mergeCell ref="J30:J32"/>
    <mergeCell ref="K30:K32"/>
    <mergeCell ref="L30:L32"/>
    <mergeCell ref="M24:M26"/>
    <mergeCell ref="N24:N26"/>
    <mergeCell ref="O24:O26"/>
    <mergeCell ref="Q24:Q26"/>
    <mergeCell ref="A27:A29"/>
    <mergeCell ref="H27:H29"/>
    <mergeCell ref="J27:J29"/>
    <mergeCell ref="K27:K29"/>
    <mergeCell ref="L27:L29"/>
    <mergeCell ref="M21:M23"/>
    <mergeCell ref="N21:N23"/>
    <mergeCell ref="O21:O23"/>
    <mergeCell ref="Q21:Q23"/>
    <mergeCell ref="A24:A26"/>
    <mergeCell ref="H24:H26"/>
    <mergeCell ref="J24:J26"/>
    <mergeCell ref="K24:K26"/>
    <mergeCell ref="L24:L26"/>
    <mergeCell ref="M18:M20"/>
    <mergeCell ref="N18:N20"/>
    <mergeCell ref="O18:O20"/>
    <mergeCell ref="Q18:Q20"/>
    <mergeCell ref="A21:A23"/>
    <mergeCell ref="H21:H23"/>
    <mergeCell ref="J21:J23"/>
    <mergeCell ref="K21:K23"/>
    <mergeCell ref="L21:L23"/>
    <mergeCell ref="M15:M17"/>
    <mergeCell ref="N15:N17"/>
    <mergeCell ref="O15:O17"/>
    <mergeCell ref="Q15:Q17"/>
    <mergeCell ref="A18:A20"/>
    <mergeCell ref="H18:H20"/>
    <mergeCell ref="J18:J20"/>
    <mergeCell ref="K18:K20"/>
    <mergeCell ref="L18:L20"/>
    <mergeCell ref="N12:N14"/>
    <mergeCell ref="O12:O14"/>
    <mergeCell ref="Q12:Q14"/>
    <mergeCell ref="A15:A17"/>
    <mergeCell ref="H15:H17"/>
    <mergeCell ref="J15:J17"/>
    <mergeCell ref="K15:K17"/>
    <mergeCell ref="L15:L17"/>
    <mergeCell ref="N9:N11"/>
    <mergeCell ref="O9:O11"/>
    <mergeCell ref="Q9:Q11"/>
    <mergeCell ref="A12:A14"/>
    <mergeCell ref="H12:H14"/>
    <mergeCell ref="J12:J14"/>
    <mergeCell ref="K12:K14"/>
    <mergeCell ref="L12:L14"/>
    <mergeCell ref="M12:M14"/>
    <mergeCell ref="N6:N8"/>
    <mergeCell ref="O6:O8"/>
    <mergeCell ref="Q6:Q8"/>
    <mergeCell ref="A9:A11"/>
    <mergeCell ref="H9:H11"/>
    <mergeCell ref="J9:J11"/>
    <mergeCell ref="K9:K11"/>
    <mergeCell ref="L9:L11"/>
    <mergeCell ref="M9:M11"/>
    <mergeCell ref="N3:N5"/>
    <mergeCell ref="O3:O5"/>
    <mergeCell ref="Q3:Q5"/>
    <mergeCell ref="A6:A8"/>
    <mergeCell ref="H6:H8"/>
    <mergeCell ref="J6:J8"/>
    <mergeCell ref="K6:K8"/>
    <mergeCell ref="L6:L8"/>
    <mergeCell ref="M6:M8"/>
    <mergeCell ref="A1:H1"/>
    <mergeCell ref="J1:Q1"/>
    <mergeCell ref="A3:A5"/>
    <mergeCell ref="H3:H5"/>
    <mergeCell ref="J3:J5"/>
    <mergeCell ref="K3:K5"/>
    <mergeCell ref="L3:L5"/>
    <mergeCell ref="M3:M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F6FD-2D17-4E1C-8AC0-B79AFA878341}">
  <dimension ref="A1:I19"/>
  <sheetViews>
    <sheetView tabSelected="1" zoomScale="70" zoomScaleNormal="70" workbookViewId="0">
      <selection activeCell="C3" sqref="C3:C5"/>
    </sheetView>
  </sheetViews>
  <sheetFormatPr defaultRowHeight="14.4" x14ac:dyDescent="0.3"/>
  <cols>
    <col min="1" max="1" width="17.6640625" bestFit="1" customWidth="1"/>
    <col min="2" max="2" width="11.44140625" bestFit="1" customWidth="1"/>
    <col min="3" max="3" width="8.33203125" bestFit="1" customWidth="1"/>
    <col min="4" max="4" width="20.44140625" customWidth="1"/>
    <col min="5" max="5" width="1.6640625" style="2" customWidth="1"/>
    <col min="6" max="6" width="17.6640625" bestFit="1" customWidth="1"/>
    <col min="7" max="7" width="11.44140625" bestFit="1" customWidth="1"/>
    <col min="8" max="8" width="9.77734375" customWidth="1"/>
    <col min="9" max="9" width="18.77734375" customWidth="1"/>
  </cols>
  <sheetData>
    <row r="1" spans="1:9" ht="18" x14ac:dyDescent="0.35">
      <c r="A1" s="61" t="s">
        <v>10</v>
      </c>
      <c r="B1" s="62"/>
      <c r="C1" s="62"/>
      <c r="D1" s="62"/>
      <c r="E1" s="29"/>
      <c r="F1" s="61" t="s">
        <v>50</v>
      </c>
      <c r="G1" s="62"/>
      <c r="H1" s="62"/>
      <c r="I1" s="62"/>
    </row>
    <row r="2" spans="1:9" ht="28.8" customHeight="1" thickBot="1" x14ac:dyDescent="0.35">
      <c r="A2" s="17" t="s">
        <v>0</v>
      </c>
      <c r="B2" s="18" t="s">
        <v>3</v>
      </c>
      <c r="C2" s="18" t="s">
        <v>73</v>
      </c>
      <c r="D2" s="20" t="s">
        <v>37</v>
      </c>
      <c r="E2" s="15"/>
      <c r="F2" s="17" t="s">
        <v>0</v>
      </c>
      <c r="G2" s="18" t="s">
        <v>3</v>
      </c>
      <c r="H2" s="18" t="s">
        <v>73</v>
      </c>
      <c r="I2" s="20" t="s">
        <v>37</v>
      </c>
    </row>
    <row r="3" spans="1:9" ht="14.4" customHeight="1" x14ac:dyDescent="0.3">
      <c r="A3" s="77" t="s">
        <v>34</v>
      </c>
      <c r="B3" s="103" t="s">
        <v>4</v>
      </c>
      <c r="C3" s="104">
        <v>0.23300000000000001</v>
      </c>
      <c r="D3" s="72" t="s">
        <v>78</v>
      </c>
      <c r="E3" s="30"/>
      <c r="F3" s="77" t="str">
        <f>A3</f>
        <v>K-Means</v>
      </c>
      <c r="G3" s="55" t="s">
        <v>52</v>
      </c>
      <c r="H3" s="60" t="str">
        <f>IF(C5="","",(C4-C5))</f>
        <v/>
      </c>
      <c r="I3" s="65" t="str">
        <f>D3</f>
        <v>K = 3</v>
      </c>
    </row>
    <row r="4" spans="1:9" x14ac:dyDescent="0.3">
      <c r="A4" s="97"/>
      <c r="B4" s="82"/>
      <c r="C4" s="105"/>
      <c r="D4" s="73"/>
      <c r="E4" s="27"/>
      <c r="F4" s="97"/>
      <c r="G4" s="56"/>
      <c r="H4" s="45"/>
      <c r="I4" s="66"/>
    </row>
    <row r="5" spans="1:9" x14ac:dyDescent="0.3">
      <c r="A5" s="98"/>
      <c r="B5" s="83"/>
      <c r="C5" s="106"/>
      <c r="D5" s="73"/>
      <c r="E5" s="27"/>
      <c r="F5" s="98"/>
      <c r="G5" s="56"/>
      <c r="H5" s="45"/>
      <c r="I5" s="67"/>
    </row>
    <row r="6" spans="1:9" x14ac:dyDescent="0.3">
      <c r="A6" s="96" t="s">
        <v>35</v>
      </c>
      <c r="B6" s="34" t="s">
        <v>4</v>
      </c>
      <c r="C6" s="41"/>
      <c r="D6" s="73" t="s">
        <v>49</v>
      </c>
      <c r="E6" s="15"/>
      <c r="F6" s="96" t="str">
        <f>A6</f>
        <v>Affinity Propagation</v>
      </c>
      <c r="G6" s="57" t="s">
        <v>52</v>
      </c>
      <c r="H6" s="44" t="str">
        <f>IF(C8="","",(C7-C8))</f>
        <v/>
      </c>
      <c r="I6" s="71" t="str">
        <f>D6</f>
        <v>preference</v>
      </c>
    </row>
    <row r="7" spans="1:9" x14ac:dyDescent="0.3">
      <c r="A7" s="97"/>
      <c r="B7" s="22" t="s">
        <v>2</v>
      </c>
      <c r="C7" s="42"/>
      <c r="D7" s="74"/>
      <c r="E7" s="15"/>
      <c r="F7" s="97"/>
      <c r="G7" s="56"/>
      <c r="H7" s="45"/>
      <c r="I7" s="66"/>
    </row>
    <row r="8" spans="1:9" x14ac:dyDescent="0.3">
      <c r="A8" s="98"/>
      <c r="B8" s="23" t="s">
        <v>1</v>
      </c>
      <c r="C8" s="107"/>
      <c r="D8" s="74"/>
      <c r="E8" s="15"/>
      <c r="F8" s="98"/>
      <c r="G8" s="58"/>
      <c r="H8" s="45"/>
      <c r="I8" s="67"/>
    </row>
    <row r="10" spans="1:9" x14ac:dyDescent="0.3">
      <c r="F10" s="43"/>
      <c r="G10" s="43"/>
      <c r="H10" s="43"/>
      <c r="I10" s="43"/>
    </row>
    <row r="11" spans="1:9" x14ac:dyDescent="0.3">
      <c r="F11" s="43"/>
      <c r="G11" s="43"/>
      <c r="H11" s="43"/>
      <c r="I11" s="43"/>
    </row>
    <row r="12" spans="1:9" x14ac:dyDescent="0.3">
      <c r="F12" s="43"/>
      <c r="G12" s="43"/>
      <c r="H12" s="43"/>
      <c r="I12" s="43"/>
    </row>
    <row r="13" spans="1:9" x14ac:dyDescent="0.3">
      <c r="F13" s="43"/>
      <c r="G13" s="43"/>
      <c r="H13" s="43"/>
      <c r="I13" s="43"/>
    </row>
    <row r="14" spans="1:9" x14ac:dyDescent="0.3">
      <c r="F14" s="43"/>
      <c r="G14" s="43"/>
      <c r="H14" s="43"/>
      <c r="I14" s="43"/>
    </row>
    <row r="15" spans="1:9" x14ac:dyDescent="0.3">
      <c r="F15" s="43"/>
      <c r="G15" s="43"/>
      <c r="H15" s="43"/>
      <c r="I15" s="43"/>
    </row>
    <row r="16" spans="1:9" x14ac:dyDescent="0.3">
      <c r="F16" s="43"/>
      <c r="G16" s="43"/>
      <c r="H16" s="43"/>
      <c r="I16" s="43"/>
    </row>
    <row r="17" spans="6:9" x14ac:dyDescent="0.3">
      <c r="F17" s="43"/>
      <c r="G17" s="43"/>
      <c r="H17" s="43"/>
      <c r="I17" s="43"/>
    </row>
    <row r="18" spans="6:9" x14ac:dyDescent="0.3">
      <c r="F18" s="43"/>
      <c r="G18" s="43"/>
      <c r="H18" s="43"/>
      <c r="I18" s="43"/>
    </row>
    <row r="19" spans="6:9" x14ac:dyDescent="0.3">
      <c r="F19" s="43"/>
      <c r="G19" s="43"/>
      <c r="H19" s="43"/>
      <c r="I19" s="43"/>
    </row>
  </sheetData>
  <mergeCells count="18">
    <mergeCell ref="F10:I19"/>
    <mergeCell ref="B3:B5"/>
    <mergeCell ref="C3:C5"/>
    <mergeCell ref="C6:C8"/>
    <mergeCell ref="I6:I8"/>
    <mergeCell ref="I3:I5"/>
    <mergeCell ref="A6:A8"/>
    <mergeCell ref="D6:D8"/>
    <mergeCell ref="F6:F8"/>
    <mergeCell ref="G6:G8"/>
    <mergeCell ref="H6:H8"/>
    <mergeCell ref="A1:D1"/>
    <mergeCell ref="F1:I1"/>
    <mergeCell ref="A3:A5"/>
    <mergeCell ref="D3:D5"/>
    <mergeCell ref="F3:F5"/>
    <mergeCell ref="G3:G5"/>
    <mergeCell ref="H3:H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AFEA-0B43-4A86-8621-F8C9F86DE511}">
  <dimension ref="A1:Y17"/>
  <sheetViews>
    <sheetView zoomScale="80" zoomScaleNormal="80" workbookViewId="0">
      <selection activeCell="B17" sqref="B17"/>
    </sheetView>
  </sheetViews>
  <sheetFormatPr defaultRowHeight="14.4" x14ac:dyDescent="0.3"/>
  <cols>
    <col min="1" max="1" width="18.6640625" customWidth="1"/>
    <col min="2" max="2" width="27.88671875" style="1" bestFit="1" customWidth="1"/>
    <col min="3" max="3" width="24.5546875" style="1" customWidth="1"/>
    <col min="4" max="4" width="26.21875" style="1" bestFit="1" customWidth="1"/>
    <col min="9" max="9" width="9.6640625" bestFit="1" customWidth="1"/>
    <col min="10" max="10" width="13.109375" style="1" customWidth="1"/>
    <col min="11" max="11" width="16.6640625" style="1" customWidth="1"/>
    <col min="12" max="12" width="16.77734375" style="1" customWidth="1"/>
    <col min="13" max="13" width="16.88671875" style="1" bestFit="1" customWidth="1"/>
    <col min="15" max="15" width="7.88671875" customWidth="1"/>
    <col min="16" max="16" width="16.21875" bestFit="1" customWidth="1"/>
    <col min="17" max="17" width="21.5546875" bestFit="1" customWidth="1"/>
    <col min="18" max="18" width="21.77734375" bestFit="1" customWidth="1"/>
    <col min="19" max="19" width="25.6640625" bestFit="1" customWidth="1"/>
    <col min="20" max="20" width="19.44140625" bestFit="1" customWidth="1"/>
    <col min="21" max="21" width="25.6640625" bestFit="1" customWidth="1"/>
    <col min="22" max="22" width="26" bestFit="1" customWidth="1"/>
    <col min="23" max="23" width="29.88671875" bestFit="1" customWidth="1"/>
    <col min="24" max="24" width="22.88671875" bestFit="1" customWidth="1"/>
    <col min="25" max="25" width="24.109375" bestFit="1" customWidth="1"/>
  </cols>
  <sheetData>
    <row r="1" spans="1:25" x14ac:dyDescent="0.3">
      <c r="A1" s="21" t="s">
        <v>28</v>
      </c>
      <c r="B1" s="21" t="s">
        <v>29</v>
      </c>
      <c r="C1" s="21" t="s">
        <v>37</v>
      </c>
      <c r="D1" s="21" t="s">
        <v>30</v>
      </c>
      <c r="J1" s="1" t="s">
        <v>6</v>
      </c>
      <c r="K1" s="1" t="s">
        <v>7</v>
      </c>
      <c r="L1" s="1" t="s">
        <v>8</v>
      </c>
      <c r="M1" s="1" t="s">
        <v>16</v>
      </c>
      <c r="P1" t="s">
        <v>18</v>
      </c>
      <c r="Q1" t="s">
        <v>22</v>
      </c>
      <c r="R1" t="s">
        <v>23</v>
      </c>
      <c r="S1" t="s">
        <v>24</v>
      </c>
      <c r="T1" t="s">
        <v>21</v>
      </c>
      <c r="U1" t="s">
        <v>25</v>
      </c>
      <c r="V1" t="s">
        <v>26</v>
      </c>
      <c r="W1" t="s">
        <v>27</v>
      </c>
      <c r="X1" t="s">
        <v>19</v>
      </c>
      <c r="Y1" t="s">
        <v>20</v>
      </c>
    </row>
    <row r="2" spans="1:25" x14ac:dyDescent="0.3">
      <c r="A2" s="81" t="s">
        <v>15</v>
      </c>
      <c r="B2" s="13" t="s">
        <v>6</v>
      </c>
      <c r="C2" s="13" t="s">
        <v>38</v>
      </c>
      <c r="D2" s="84" t="s">
        <v>31</v>
      </c>
      <c r="I2" s="102" t="s">
        <v>13</v>
      </c>
      <c r="J2" s="1">
        <f>Classificação!M5</f>
        <v>0.56469999999999998</v>
      </c>
      <c r="K2" s="1">
        <f>Classificação!M8</f>
        <v>0.94889999999999997</v>
      </c>
      <c r="L2" s="1">
        <f>Classificação!M11</f>
        <v>0.95909999999999995</v>
      </c>
      <c r="M2" s="1">
        <f>Classificação!M14</f>
        <v>0.85009999999999997</v>
      </c>
      <c r="O2" s="1" t="s">
        <v>58</v>
      </c>
    </row>
    <row r="3" spans="1:25" x14ac:dyDescent="0.3">
      <c r="A3" s="82"/>
      <c r="B3" s="4" t="s">
        <v>7</v>
      </c>
      <c r="C3" s="4" t="s">
        <v>40</v>
      </c>
      <c r="D3" s="47"/>
      <c r="I3" s="102" t="s">
        <v>12</v>
      </c>
      <c r="J3" s="1">
        <f>Classificação!K5</f>
        <v>0.68279999999999996</v>
      </c>
      <c r="K3" s="1">
        <f>Classificação!K8</f>
        <v>0.95509999999999995</v>
      </c>
      <c r="L3" s="1">
        <f>Classificação!K11</f>
        <v>0.97299999999999998</v>
      </c>
      <c r="M3" s="1">
        <f>Classificação!K14</f>
        <v>0.86850000000000005</v>
      </c>
    </row>
    <row r="4" spans="1:25" x14ac:dyDescent="0.3">
      <c r="A4" s="82"/>
      <c r="B4" s="4" t="s">
        <v>8</v>
      </c>
      <c r="C4" s="4" t="s">
        <v>41</v>
      </c>
      <c r="D4" s="47"/>
      <c r="I4" s="102" t="s">
        <v>14</v>
      </c>
      <c r="J4" s="1">
        <f>Classificação!L5</f>
        <v>0.48149999999999998</v>
      </c>
      <c r="K4" s="1">
        <f>Classificação!L8</f>
        <v>0.94269999999999998</v>
      </c>
      <c r="L4" s="1">
        <f>Classificação!L11</f>
        <v>0.9456</v>
      </c>
      <c r="M4" s="1">
        <f>Classificação!L14</f>
        <v>0.83240000000000003</v>
      </c>
    </row>
    <row r="5" spans="1:25" x14ac:dyDescent="0.3">
      <c r="A5" s="83"/>
      <c r="B5" s="11" t="s">
        <v>16</v>
      </c>
      <c r="C5" s="11" t="s">
        <v>39</v>
      </c>
      <c r="D5" s="48"/>
      <c r="I5" s="102"/>
    </row>
    <row r="6" spans="1:25" x14ac:dyDescent="0.3">
      <c r="A6" s="81" t="s">
        <v>17</v>
      </c>
      <c r="B6" s="13" t="s">
        <v>18</v>
      </c>
      <c r="C6" s="13"/>
      <c r="D6" s="57" t="s">
        <v>32</v>
      </c>
    </row>
    <row r="7" spans="1:25" x14ac:dyDescent="0.3">
      <c r="A7" s="82"/>
      <c r="B7" s="4" t="s">
        <v>22</v>
      </c>
      <c r="C7" s="4" t="s">
        <v>45</v>
      </c>
      <c r="D7" s="56"/>
    </row>
    <row r="8" spans="1:25" x14ac:dyDescent="0.3">
      <c r="A8" s="82"/>
      <c r="B8" s="4" t="s">
        <v>23</v>
      </c>
      <c r="C8" s="4" t="s">
        <v>45</v>
      </c>
      <c r="D8" s="56"/>
    </row>
    <row r="9" spans="1:25" x14ac:dyDescent="0.3">
      <c r="A9" s="82"/>
      <c r="B9" s="4" t="s">
        <v>24</v>
      </c>
      <c r="C9" s="4" t="s">
        <v>46</v>
      </c>
      <c r="D9" s="56"/>
    </row>
    <row r="10" spans="1:25" x14ac:dyDescent="0.3">
      <c r="A10" s="82"/>
      <c r="B10" s="4" t="s">
        <v>21</v>
      </c>
      <c r="C10" s="4" t="s">
        <v>42</v>
      </c>
      <c r="D10" s="56"/>
    </row>
    <row r="11" spans="1:25" x14ac:dyDescent="0.3">
      <c r="A11" s="82"/>
      <c r="B11" s="4" t="s">
        <v>25</v>
      </c>
      <c r="C11" s="4" t="s">
        <v>43</v>
      </c>
      <c r="D11" s="56"/>
    </row>
    <row r="12" spans="1:25" x14ac:dyDescent="0.3">
      <c r="A12" s="82"/>
      <c r="B12" s="4" t="s">
        <v>26</v>
      </c>
      <c r="C12" s="4" t="s">
        <v>43</v>
      </c>
      <c r="D12" s="56"/>
    </row>
    <row r="13" spans="1:25" x14ac:dyDescent="0.3">
      <c r="A13" s="82"/>
      <c r="B13" s="4" t="s">
        <v>27</v>
      </c>
      <c r="C13" s="4" t="s">
        <v>44</v>
      </c>
      <c r="D13" s="56"/>
    </row>
    <row r="14" spans="1:25" x14ac:dyDescent="0.3">
      <c r="A14" s="82"/>
      <c r="B14" s="4" t="s">
        <v>19</v>
      </c>
      <c r="C14" s="4" t="s">
        <v>40</v>
      </c>
      <c r="D14" s="56"/>
    </row>
    <row r="15" spans="1:25" x14ac:dyDescent="0.3">
      <c r="A15" s="82"/>
      <c r="B15" s="4" t="s">
        <v>20</v>
      </c>
      <c r="C15" s="4" t="s">
        <v>47</v>
      </c>
      <c r="D15" s="82"/>
    </row>
    <row r="16" spans="1:25" x14ac:dyDescent="0.3">
      <c r="A16" s="85" t="s">
        <v>33</v>
      </c>
      <c r="B16" s="13" t="s">
        <v>34</v>
      </c>
      <c r="C16" s="13" t="s">
        <v>48</v>
      </c>
      <c r="D16" s="85" t="s">
        <v>36</v>
      </c>
    </row>
    <row r="17" spans="1:4" x14ac:dyDescent="0.3">
      <c r="A17" s="86"/>
      <c r="B17" s="11" t="s">
        <v>35</v>
      </c>
      <c r="C17" s="11" t="s">
        <v>49</v>
      </c>
      <c r="D17" s="86"/>
    </row>
  </sheetData>
  <mergeCells count="6">
    <mergeCell ref="A2:A5"/>
    <mergeCell ref="A6:A15"/>
    <mergeCell ref="D2:D5"/>
    <mergeCell ref="D6:D15"/>
    <mergeCell ref="A16:A17"/>
    <mergeCell ref="D16:D17"/>
  </mergeCells>
  <conditionalFormatting sqref="J2:M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Classificação</vt:lpstr>
      <vt:lpstr>Regressão</vt:lpstr>
      <vt:lpstr>Clusterização</vt:lpstr>
      <vt:lpstr>Algoritimos para Ensaio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Grandim</dc:creator>
  <cp:lastModifiedBy>Guilherme Grandim</cp:lastModifiedBy>
  <dcterms:created xsi:type="dcterms:W3CDTF">2026-06-04T14:50:41Z</dcterms:created>
  <dcterms:modified xsi:type="dcterms:W3CDTF">2026-06-05T22:37:40Z</dcterms:modified>
</cp:coreProperties>
</file>